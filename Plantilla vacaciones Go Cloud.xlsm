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aime\IBM\PROYECTOS\"/>
    </mc:Choice>
  </mc:AlternateContent>
  <xr:revisionPtr revIDLastSave="0" documentId="13_ncr:1_{20AD4C68-9A37-407F-9965-8B09D663B974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2020" sheetId="8" r:id="rId1"/>
    <sheet name="2021" sheetId="12" r:id="rId2"/>
    <sheet name="Días laborables y festivos" sheetId="9" r:id="rId3"/>
    <sheet name="Auxiliar" sheetId="5" state="hidden" r:id="rId4"/>
  </sheets>
  <definedNames>
    <definedName name="Años">Auxiliar!$F$1:$F$25</definedName>
    <definedName name="Feriados">'Días laborables y festivos'!$C$5:$C$66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Meses">Auxiliar!$A$1:$A$12</definedName>
    <definedName name="Meses_num">Auxiliar!$A$1:$B$12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T58" i="8" l="1" a="1"/>
  <c r="NT58" i="8" s="1"/>
  <c r="NT57" i="8" a="1"/>
  <c r="NT57" i="8" s="1"/>
  <c r="NT56" i="8" a="1"/>
  <c r="NT56" i="8" s="1"/>
  <c r="NT55" i="8" a="1"/>
  <c r="NT55" i="8" s="1"/>
  <c r="NT54" i="8" a="1"/>
  <c r="NT54" i="8" s="1"/>
  <c r="NT53" i="8" a="1"/>
  <c r="NT53" i="8" s="1"/>
  <c r="NT52" i="8" a="1"/>
  <c r="NT52" i="8" s="1"/>
  <c r="NT51" i="8" a="1"/>
  <c r="NT51" i="8" s="1"/>
  <c r="NT50" i="8" a="1"/>
  <c r="NT50" i="8" s="1"/>
  <c r="NT49" i="8" a="1"/>
  <c r="NT49" i="8" s="1"/>
  <c r="NT48" i="8" a="1"/>
  <c r="NT48" i="8" s="1"/>
  <c r="NT47" i="8" a="1"/>
  <c r="NT47" i="8" s="1"/>
  <c r="NT46" i="8" a="1"/>
  <c r="NT46" i="8" s="1"/>
  <c r="NT45" i="8" a="1"/>
  <c r="NT45" i="8" s="1"/>
  <c r="NT44" i="8" a="1"/>
  <c r="NT44" i="8" s="1"/>
  <c r="NT43" i="8" a="1"/>
  <c r="NT43" i="8" s="1"/>
  <c r="NT42" i="8" a="1"/>
  <c r="NT42" i="8" s="1"/>
  <c r="NT41" i="8" a="1"/>
  <c r="NT41" i="8" s="1"/>
  <c r="NT40" i="8" a="1"/>
  <c r="NT40" i="8" s="1"/>
  <c r="NT39" i="8" a="1"/>
  <c r="NT39" i="8" s="1"/>
  <c r="NT38" i="8" a="1"/>
  <c r="NT38" i="8" s="1"/>
  <c r="NT37" i="8" a="1"/>
  <c r="NT37" i="8" s="1"/>
  <c r="NT36" i="8" a="1"/>
  <c r="NT36" i="8" s="1"/>
  <c r="NT35" i="8" a="1"/>
  <c r="NT35" i="8" s="1"/>
  <c r="NT34" i="8" a="1"/>
  <c r="NT34" i="8" s="1"/>
  <c r="NT33" i="8" a="1"/>
  <c r="NT33" i="8" s="1"/>
  <c r="NT32" i="8" a="1"/>
  <c r="NT32" i="8" s="1"/>
  <c r="NT31" i="8" a="1"/>
  <c r="NT31" i="8" s="1"/>
  <c r="NT30" i="8" a="1"/>
  <c r="NT30" i="8" s="1"/>
  <c r="NT29" i="8" a="1"/>
  <c r="NT29" i="8" s="1"/>
  <c r="NT28" i="8" a="1"/>
  <c r="NT28" i="8" s="1"/>
  <c r="NT27" i="8" a="1"/>
  <c r="NT27" i="8" s="1"/>
  <c r="NT26" i="8" a="1"/>
  <c r="NT26" i="8" s="1"/>
  <c r="NT25" i="8" a="1"/>
  <c r="NT25" i="8" s="1"/>
  <c r="NT24" i="8" a="1"/>
  <c r="NT24" i="8" s="1"/>
  <c r="NT23" i="8" a="1"/>
  <c r="NT23" i="8" s="1"/>
  <c r="NT22" i="8" a="1"/>
  <c r="NT22" i="8" s="1"/>
  <c r="NT21" i="8" a="1"/>
  <c r="NT21" i="8" s="1"/>
  <c r="NT20" i="8" a="1"/>
  <c r="NT20" i="8" s="1"/>
  <c r="NT19" i="8" a="1"/>
  <c r="NT19" i="8" s="1"/>
  <c r="NT18" i="8" a="1"/>
  <c r="NT18" i="8" s="1"/>
  <c r="NT17" i="8" a="1"/>
  <c r="NT17" i="8" s="1"/>
  <c r="NT16" i="8" a="1"/>
  <c r="NT16" i="8" s="1"/>
  <c r="NT15" i="8" a="1"/>
  <c r="NT15" i="8" s="1"/>
  <c r="NT14" i="8" a="1"/>
  <c r="NT14" i="8" s="1"/>
  <c r="BI9" i="12" l="1"/>
  <c r="BJ9" i="12"/>
  <c r="BK9" i="12"/>
  <c r="NI9" i="12"/>
  <c r="NH9" i="12"/>
  <c r="NG9" i="12"/>
  <c r="NF9" i="12"/>
  <c r="NE9" i="12"/>
  <c r="ND9" i="12"/>
  <c r="NC9" i="12"/>
  <c r="NB9" i="12"/>
  <c r="NA9" i="12"/>
  <c r="MZ9" i="12"/>
  <c r="MY9" i="12"/>
  <c r="MX9" i="12"/>
  <c r="MW9" i="12"/>
  <c r="MV9" i="12"/>
  <c r="MU9" i="12"/>
  <c r="MT9" i="12"/>
  <c r="MS9" i="12"/>
  <c r="MR9" i="12"/>
  <c r="MQ9" i="12"/>
  <c r="MP9" i="12"/>
  <c r="MO9" i="12"/>
  <c r="MN9" i="12"/>
  <c r="MM9" i="12"/>
  <c r="ML9" i="12"/>
  <c r="MK9" i="12"/>
  <c r="MJ9" i="12"/>
  <c r="MI9" i="12"/>
  <c r="MH9" i="12"/>
  <c r="MG9" i="12"/>
  <c r="MF9" i="12"/>
  <c r="ME9" i="12"/>
  <c r="MD9" i="12"/>
  <c r="MC9" i="12"/>
  <c r="MB9" i="12"/>
  <c r="MA9" i="12"/>
  <c r="LZ9" i="12"/>
  <c r="LY9" i="12"/>
  <c r="LX9" i="12"/>
  <c r="LW9" i="12"/>
  <c r="LV9" i="12"/>
  <c r="LU9" i="12"/>
  <c r="LT9" i="12"/>
  <c r="LS9" i="12"/>
  <c r="LR9" i="12"/>
  <c r="LQ9" i="12"/>
  <c r="LP9" i="12"/>
  <c r="LO9" i="12"/>
  <c r="LN9" i="12"/>
  <c r="LM9" i="12"/>
  <c r="LL9" i="12"/>
  <c r="LK9" i="12"/>
  <c r="LJ9" i="12"/>
  <c r="LI9" i="12"/>
  <c r="LH9" i="12"/>
  <c r="LG9" i="12"/>
  <c r="LF9" i="12"/>
  <c r="LE9" i="12"/>
  <c r="LD9" i="12"/>
  <c r="LC9" i="12"/>
  <c r="LB9" i="12"/>
  <c r="LA9" i="12"/>
  <c r="KZ9" i="12"/>
  <c r="KY9" i="12"/>
  <c r="KX9" i="12"/>
  <c r="KW9" i="12"/>
  <c r="KV9" i="12"/>
  <c r="KU9" i="12"/>
  <c r="KT9" i="12"/>
  <c r="KS9" i="12"/>
  <c r="KR9" i="12"/>
  <c r="KQ9" i="12"/>
  <c r="KP9" i="12"/>
  <c r="KO9" i="12"/>
  <c r="KN9" i="12"/>
  <c r="KM9" i="12"/>
  <c r="KL9" i="12"/>
  <c r="KK9" i="12"/>
  <c r="KJ9" i="12"/>
  <c r="KI9" i="12"/>
  <c r="KH9" i="12"/>
  <c r="KG9" i="12"/>
  <c r="KF9" i="12"/>
  <c r="KE9" i="12"/>
  <c r="KD9" i="12"/>
  <c r="KC9" i="12"/>
  <c r="KB9" i="12"/>
  <c r="KA9" i="12"/>
  <c r="JZ9" i="12"/>
  <c r="JY9" i="12"/>
  <c r="JX9" i="12"/>
  <c r="JW9" i="12"/>
  <c r="JV9" i="12"/>
  <c r="JU9" i="12"/>
  <c r="JT9" i="12"/>
  <c r="JS9" i="12"/>
  <c r="JR9" i="12"/>
  <c r="JQ9" i="12"/>
  <c r="JP9" i="12"/>
  <c r="JO9" i="12"/>
  <c r="JN9" i="12"/>
  <c r="JM9" i="12"/>
  <c r="JL9" i="12"/>
  <c r="JK9" i="12"/>
  <c r="JJ9" i="12"/>
  <c r="JI9" i="12"/>
  <c r="JH9" i="12"/>
  <c r="JG9" i="12"/>
  <c r="JF9" i="12"/>
  <c r="JE9" i="12"/>
  <c r="JD9" i="12"/>
  <c r="JC9" i="12"/>
  <c r="JB9" i="12"/>
  <c r="JA9" i="12"/>
  <c r="IZ9" i="12"/>
  <c r="IY9" i="12"/>
  <c r="IX9" i="12"/>
  <c r="IW9" i="12"/>
  <c r="IV9" i="12"/>
  <c r="IU9" i="12"/>
  <c r="IT9" i="12"/>
  <c r="IS9" i="12"/>
  <c r="IR9" i="12"/>
  <c r="IQ9" i="12"/>
  <c r="IP9" i="12"/>
  <c r="IO9" i="12"/>
  <c r="IN9" i="12"/>
  <c r="IM9" i="12"/>
  <c r="IL9" i="12"/>
  <c r="IK9" i="12"/>
  <c r="IJ9" i="12"/>
  <c r="II9" i="12"/>
  <c r="IH9" i="12"/>
  <c r="IG9" i="12"/>
  <c r="IF9" i="12"/>
  <c r="IE9" i="12"/>
  <c r="ID9" i="12"/>
  <c r="IC9" i="12"/>
  <c r="IB9" i="12"/>
  <c r="IA9" i="12"/>
  <c r="HZ9" i="12"/>
  <c r="HY9" i="12"/>
  <c r="HX9" i="12"/>
  <c r="HW9" i="12"/>
  <c r="HV9" i="12"/>
  <c r="HU9" i="12"/>
  <c r="HT9" i="12"/>
  <c r="HS9" i="12"/>
  <c r="HR9" i="12"/>
  <c r="HQ9" i="12"/>
  <c r="HP9" i="12"/>
  <c r="HO9" i="12"/>
  <c r="HN9" i="12"/>
  <c r="HM9" i="12"/>
  <c r="HL9" i="12"/>
  <c r="HK9" i="12"/>
  <c r="HJ9" i="12"/>
  <c r="HI9" i="12"/>
  <c r="HH9" i="12"/>
  <c r="HG9" i="12"/>
  <c r="HF9" i="12"/>
  <c r="HE9" i="12"/>
  <c r="HD9" i="12"/>
  <c r="HC9" i="12"/>
  <c r="HB9" i="12"/>
  <c r="HA9" i="12"/>
  <c r="GZ9" i="12"/>
  <c r="GY9" i="12"/>
  <c r="GX9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A9" i="12"/>
  <c r="NO13" i="12" l="1" a="1"/>
  <c r="NO13" i="12" s="1"/>
  <c r="NT58" i="12" a="1"/>
  <c r="NT58" i="12" s="1"/>
  <c r="NT50" i="12" a="1"/>
  <c r="NT50" i="12" s="1"/>
  <c r="NT42" i="12" a="1"/>
  <c r="NT42" i="12" s="1"/>
  <c r="NT34" i="12" a="1"/>
  <c r="NT34" i="12" s="1"/>
  <c r="NT26" i="12" a="1"/>
  <c r="NT26" i="12" s="1"/>
  <c r="NT18" i="12" a="1"/>
  <c r="NT18" i="12" s="1"/>
  <c r="NT35" i="12" a="1"/>
  <c r="NT35" i="12" s="1"/>
  <c r="NT57" i="12" a="1"/>
  <c r="NT57" i="12" s="1"/>
  <c r="NT49" i="12" a="1"/>
  <c r="NT49" i="12" s="1"/>
  <c r="NT41" i="12" a="1"/>
  <c r="NT41" i="12" s="1"/>
  <c r="NT33" i="12" a="1"/>
  <c r="NT33" i="12" s="1"/>
  <c r="NT25" i="12" a="1"/>
  <c r="NT25" i="12" s="1"/>
  <c r="NT17" i="12" a="1"/>
  <c r="NT17" i="12" s="1"/>
  <c r="NT20" i="12" a="1"/>
  <c r="NT20" i="12" s="1"/>
  <c r="NT19" i="12" a="1"/>
  <c r="NT19" i="12" s="1"/>
  <c r="NT56" i="12" a="1"/>
  <c r="NT56" i="12" s="1"/>
  <c r="NT48" i="12" a="1"/>
  <c r="NT48" i="12" s="1"/>
  <c r="NT40" i="12" a="1"/>
  <c r="NT40" i="12" s="1"/>
  <c r="NT32" i="12" a="1"/>
  <c r="NT32" i="12" s="1"/>
  <c r="NT24" i="12" a="1"/>
  <c r="NT24" i="12" s="1"/>
  <c r="NT16" i="12" a="1"/>
  <c r="NT16" i="12" s="1"/>
  <c r="NT36" i="12" a="1"/>
  <c r="NT36" i="12" s="1"/>
  <c r="NT43" i="12" a="1"/>
  <c r="NT43" i="12" s="1"/>
  <c r="NT55" i="12" a="1"/>
  <c r="NT55" i="12" s="1"/>
  <c r="NT47" i="12" a="1"/>
  <c r="NT47" i="12" s="1"/>
  <c r="NT39" i="12" a="1"/>
  <c r="NT39" i="12" s="1"/>
  <c r="NT31" i="12" a="1"/>
  <c r="NT31" i="12" s="1"/>
  <c r="NT23" i="12" a="1"/>
  <c r="NT23" i="12" s="1"/>
  <c r="NT15" i="12" a="1"/>
  <c r="NT15" i="12" s="1"/>
  <c r="NT52" i="12" a="1"/>
  <c r="NT52" i="12" s="1"/>
  <c r="NT44" i="12" a="1"/>
  <c r="NT44" i="12" s="1"/>
  <c r="NT51" i="12" a="1"/>
  <c r="NT51" i="12" s="1"/>
  <c r="NT27" i="12" a="1"/>
  <c r="NT27" i="12" s="1"/>
  <c r="NT54" i="12" a="1"/>
  <c r="NT54" i="12" s="1"/>
  <c r="NT46" i="12" a="1"/>
  <c r="NT46" i="12" s="1"/>
  <c r="NT38" i="12" a="1"/>
  <c r="NT38" i="12" s="1"/>
  <c r="NT30" i="12" a="1"/>
  <c r="NT30" i="12" s="1"/>
  <c r="NT22" i="12" a="1"/>
  <c r="NT22" i="12" s="1"/>
  <c r="NT14" i="12" a="1"/>
  <c r="NT14" i="12" s="1"/>
  <c r="NT53" i="12" a="1"/>
  <c r="NT53" i="12" s="1"/>
  <c r="NT45" i="12" a="1"/>
  <c r="NT45" i="12" s="1"/>
  <c r="NT37" i="12" a="1"/>
  <c r="NT37" i="12" s="1"/>
  <c r="NT29" i="12" a="1"/>
  <c r="NT29" i="12" s="1"/>
  <c r="NT21" i="12" a="1"/>
  <c r="NT21" i="12" s="1"/>
  <c r="NT13" i="12" a="1"/>
  <c r="NT13" i="12" s="1"/>
  <c r="NT28" i="12" a="1"/>
  <c r="NT28" i="12" s="1"/>
  <c r="NO58" i="12" a="1"/>
  <c r="NO58" i="12" s="1"/>
  <c r="NO50" i="12" a="1"/>
  <c r="NO50" i="12" s="1"/>
  <c r="NO42" i="12" a="1"/>
  <c r="NO42" i="12" s="1"/>
  <c r="NO34" i="12" a="1"/>
  <c r="NO34" i="12" s="1"/>
  <c r="NO26" i="12" a="1"/>
  <c r="NO26" i="12" s="1"/>
  <c r="NO18" i="12" a="1"/>
  <c r="NO18" i="12" s="1"/>
  <c r="NO27" i="12" a="1"/>
  <c r="NO27" i="12" s="1"/>
  <c r="NO57" i="12" a="1"/>
  <c r="NO57" i="12" s="1"/>
  <c r="NO49" i="12" a="1"/>
  <c r="NO49" i="12" s="1"/>
  <c r="NO41" i="12" a="1"/>
  <c r="NO41" i="12" s="1"/>
  <c r="NO33" i="12" a="1"/>
  <c r="NO33" i="12" s="1"/>
  <c r="NO25" i="12" a="1"/>
  <c r="NO25" i="12" s="1"/>
  <c r="NO17" i="12" a="1"/>
  <c r="NO17" i="12" s="1"/>
  <c r="NO35" i="12" a="1"/>
  <c r="NO35" i="12" s="1"/>
  <c r="NO56" i="12" a="1"/>
  <c r="NO56" i="12" s="1"/>
  <c r="NO48" i="12" a="1"/>
  <c r="NO48" i="12" s="1"/>
  <c r="NO40" i="12" a="1"/>
  <c r="NO40" i="12" s="1"/>
  <c r="NO32" i="12" a="1"/>
  <c r="NO32" i="12" s="1"/>
  <c r="NO24" i="12" a="1"/>
  <c r="NO24" i="12" s="1"/>
  <c r="NO16" i="12" a="1"/>
  <c r="NO16" i="12" s="1"/>
  <c r="NO55" i="12" a="1"/>
  <c r="NO55" i="12" s="1"/>
  <c r="NO47" i="12" a="1"/>
  <c r="NO47" i="12" s="1"/>
  <c r="NO39" i="12" a="1"/>
  <c r="NO39" i="12" s="1"/>
  <c r="NO31" i="12" a="1"/>
  <c r="NO31" i="12" s="1"/>
  <c r="NO23" i="12" a="1"/>
  <c r="NO23" i="12" s="1"/>
  <c r="NO15" i="12" a="1"/>
  <c r="NO15" i="12" s="1"/>
  <c r="NO14" i="12" a="1"/>
  <c r="NO14" i="12" s="1"/>
  <c r="NO54" i="12" a="1"/>
  <c r="NO54" i="12" s="1"/>
  <c r="NO46" i="12" a="1"/>
  <c r="NO46" i="12" s="1"/>
  <c r="NO38" i="12" a="1"/>
  <c r="NO38" i="12" s="1"/>
  <c r="NO30" i="12" a="1"/>
  <c r="NO30" i="12" s="1"/>
  <c r="NO22" i="12" a="1"/>
  <c r="NO22" i="12" s="1"/>
  <c r="NO21" i="12" a="1"/>
  <c r="NO21" i="12" s="1"/>
  <c r="NO53" i="12" a="1"/>
  <c r="NO53" i="12" s="1"/>
  <c r="NO45" i="12" a="1"/>
  <c r="NO45" i="12" s="1"/>
  <c r="NO37" i="12" a="1"/>
  <c r="NO37" i="12" s="1"/>
  <c r="NO29" i="12" a="1"/>
  <c r="NO29" i="12" s="1"/>
  <c r="NO43" i="12" a="1"/>
  <c r="NO43" i="12" s="1"/>
  <c r="NO52" i="12" a="1"/>
  <c r="NO52" i="12" s="1"/>
  <c r="NO44" i="12" a="1"/>
  <c r="NO44" i="12" s="1"/>
  <c r="NO36" i="12" a="1"/>
  <c r="NO36" i="12" s="1"/>
  <c r="NO28" i="12" a="1"/>
  <c r="NO28" i="12" s="1"/>
  <c r="NO20" i="12" a="1"/>
  <c r="NO20" i="12" s="1"/>
  <c r="NO51" i="12" a="1"/>
  <c r="NO51" i="12" s="1"/>
  <c r="NO19" i="12" a="1"/>
  <c r="NO19" i="12" s="1"/>
  <c r="NN58" i="12" a="1"/>
  <c r="NN58" i="12" s="1"/>
  <c r="NN54" i="12" a="1"/>
  <c r="NN54" i="12" s="1"/>
  <c r="NN50" i="12" a="1"/>
  <c r="NN50" i="12" s="1"/>
  <c r="NN46" i="12" a="1"/>
  <c r="NN46" i="12" s="1"/>
  <c r="NN42" i="12" a="1"/>
  <c r="NN42" i="12" s="1"/>
  <c r="NN38" i="12" a="1"/>
  <c r="NN38" i="12" s="1"/>
  <c r="NN34" i="12" a="1"/>
  <c r="NN34" i="12" s="1"/>
  <c r="NN30" i="12" a="1"/>
  <c r="NN30" i="12" s="1"/>
  <c r="NN26" i="12" a="1"/>
  <c r="NN26" i="12" s="1"/>
  <c r="NN22" i="12" a="1"/>
  <c r="NN22" i="12" s="1"/>
  <c r="NN18" i="12" a="1"/>
  <c r="NN18" i="12" s="1"/>
  <c r="NN14" i="12" a="1"/>
  <c r="NN14" i="12" s="1"/>
  <c r="NN57" i="12" a="1"/>
  <c r="NN57" i="12" s="1"/>
  <c r="NN53" i="12" a="1"/>
  <c r="NN53" i="12" s="1"/>
  <c r="NN49" i="12" a="1"/>
  <c r="NN49" i="12" s="1"/>
  <c r="NN45" i="12" a="1"/>
  <c r="NN45" i="12" s="1"/>
  <c r="NN41" i="12" a="1"/>
  <c r="NN41" i="12" s="1"/>
  <c r="NN37" i="12" a="1"/>
  <c r="NN37" i="12" s="1"/>
  <c r="NN33" i="12" a="1"/>
  <c r="NN33" i="12" s="1"/>
  <c r="NN29" i="12" a="1"/>
  <c r="NN29" i="12" s="1"/>
  <c r="NN25" i="12" a="1"/>
  <c r="NN25" i="12" s="1"/>
  <c r="NN21" i="12" a="1"/>
  <c r="NN21" i="12" s="1"/>
  <c r="NN17" i="12" a="1"/>
  <c r="NN17" i="12" s="1"/>
  <c r="NN56" i="12" a="1"/>
  <c r="NN56" i="12" s="1"/>
  <c r="NN52" i="12" a="1"/>
  <c r="NN52" i="12" s="1"/>
  <c r="NN48" i="12" a="1"/>
  <c r="NN48" i="12" s="1"/>
  <c r="NN44" i="12" a="1"/>
  <c r="NN44" i="12" s="1"/>
  <c r="NN40" i="12" a="1"/>
  <c r="NN40" i="12" s="1"/>
  <c r="NN36" i="12" a="1"/>
  <c r="NN36" i="12" s="1"/>
  <c r="NN32" i="12" a="1"/>
  <c r="NN32" i="12" s="1"/>
  <c r="NN28" i="12" a="1"/>
  <c r="NN28" i="12" s="1"/>
  <c r="NN24" i="12" a="1"/>
  <c r="NN24" i="12" s="1"/>
  <c r="NN20" i="12" a="1"/>
  <c r="NN20" i="12" s="1"/>
  <c r="NN16" i="12" a="1"/>
  <c r="NN16" i="12" s="1"/>
  <c r="NN55" i="12" a="1"/>
  <c r="NN55" i="12" s="1"/>
  <c r="NN51" i="12" a="1"/>
  <c r="NN51" i="12" s="1"/>
  <c r="NN47" i="12" a="1"/>
  <c r="NN47" i="12" s="1"/>
  <c r="NN43" i="12" a="1"/>
  <c r="NN43" i="12" s="1"/>
  <c r="NN39" i="12" a="1"/>
  <c r="NN39" i="12" s="1"/>
  <c r="NN35" i="12" a="1"/>
  <c r="NN35" i="12" s="1"/>
  <c r="NN31" i="12" a="1"/>
  <c r="NN31" i="12" s="1"/>
  <c r="NN27" i="12" a="1"/>
  <c r="NN27" i="12" s="1"/>
  <c r="NN23" i="12" a="1"/>
  <c r="NN23" i="12" s="1"/>
  <c r="NN19" i="12" a="1"/>
  <c r="NN19" i="12" s="1"/>
  <c r="NN15" i="12" a="1"/>
  <c r="NN15" i="12" s="1"/>
  <c r="BK11" i="12"/>
  <c r="BK12" i="12" s="1"/>
  <c r="BK10" i="12" s="1"/>
  <c r="NN13" i="12" a="1"/>
  <c r="NN13" i="12" s="1"/>
  <c r="BJ11" i="12"/>
  <c r="BJ12" i="12" s="1"/>
  <c r="BJ10" i="12" s="1"/>
  <c r="BI11" i="12"/>
  <c r="BI12" i="12" s="1"/>
  <c r="BI10" i="12" s="1"/>
  <c r="NF11" i="12"/>
  <c r="NF12" i="12" s="1"/>
  <c r="NF10" i="12" s="1"/>
  <c r="MX11" i="12"/>
  <c r="MX12" i="12" s="1"/>
  <c r="MX10" i="12" s="1"/>
  <c r="MP11" i="12"/>
  <c r="MP12" i="12" s="1"/>
  <c r="MP10" i="12" s="1"/>
  <c r="MH11" i="12"/>
  <c r="MH12" i="12" s="1"/>
  <c r="MH10" i="12" s="1"/>
  <c r="LZ11" i="12"/>
  <c r="LZ12" i="12" s="1"/>
  <c r="LZ10" i="12" s="1"/>
  <c r="LR11" i="12"/>
  <c r="LR12" i="12" s="1"/>
  <c r="LR10" i="12" s="1"/>
  <c r="LJ11" i="12"/>
  <c r="LJ12" i="12" s="1"/>
  <c r="LJ10" i="12" s="1"/>
  <c r="LB11" i="12"/>
  <c r="LB12" i="12" s="1"/>
  <c r="LB10" i="12" s="1"/>
  <c r="KT11" i="12"/>
  <c r="KT12" i="12" s="1"/>
  <c r="KT10" i="12" s="1"/>
  <c r="KL11" i="12"/>
  <c r="KL12" i="12" s="1"/>
  <c r="KL10" i="12" s="1"/>
  <c r="KD11" i="12"/>
  <c r="KD12" i="12" s="1"/>
  <c r="KD10" i="12" s="1"/>
  <c r="JV11" i="12"/>
  <c r="JV12" i="12" s="1"/>
  <c r="JV10" i="12" s="1"/>
  <c r="JN11" i="12"/>
  <c r="JN12" i="12" s="1"/>
  <c r="JN10" i="12" s="1"/>
  <c r="JF11" i="12"/>
  <c r="JF12" i="12" s="1"/>
  <c r="JF10" i="12" s="1"/>
  <c r="IX11" i="12"/>
  <c r="IX12" i="12" s="1"/>
  <c r="IX10" i="12" s="1"/>
  <c r="IP11" i="12"/>
  <c r="IP12" i="12" s="1"/>
  <c r="IP10" i="12" s="1"/>
  <c r="IH11" i="12"/>
  <c r="IH12" i="12" s="1"/>
  <c r="IH10" i="12" s="1"/>
  <c r="HZ11" i="12"/>
  <c r="HZ12" i="12" s="1"/>
  <c r="HZ10" i="12" s="1"/>
  <c r="HR11" i="12"/>
  <c r="HR12" i="12" s="1"/>
  <c r="HR10" i="12" s="1"/>
  <c r="HJ11" i="12"/>
  <c r="HJ12" i="12" s="1"/>
  <c r="HJ10" i="12" s="1"/>
  <c r="NH11" i="12"/>
  <c r="NH12" i="12" s="1"/>
  <c r="NH10" i="12" s="1"/>
  <c r="MY11" i="12"/>
  <c r="MY12" i="12" s="1"/>
  <c r="MY10" i="12" s="1"/>
  <c r="MO11" i="12"/>
  <c r="MO12" i="12" s="1"/>
  <c r="MO10" i="12" s="1"/>
  <c r="MF11" i="12"/>
  <c r="MF12" i="12" s="1"/>
  <c r="MF10" i="12" s="1"/>
  <c r="LW11" i="12"/>
  <c r="LW12" i="12" s="1"/>
  <c r="LW10" i="12" s="1"/>
  <c r="LN11" i="12"/>
  <c r="LN12" i="12" s="1"/>
  <c r="LN10" i="12" s="1"/>
  <c r="LE11" i="12"/>
  <c r="LE12" i="12" s="1"/>
  <c r="LE10" i="12" s="1"/>
  <c r="KV11" i="12"/>
  <c r="KV12" i="12" s="1"/>
  <c r="KV10" i="12" s="1"/>
  <c r="KM11" i="12"/>
  <c r="KM12" i="12" s="1"/>
  <c r="KM10" i="12" s="1"/>
  <c r="KC11" i="12"/>
  <c r="KC12" i="12" s="1"/>
  <c r="KC10" i="12" s="1"/>
  <c r="JT11" i="12"/>
  <c r="JT12" i="12" s="1"/>
  <c r="JT10" i="12" s="1"/>
  <c r="JK11" i="12"/>
  <c r="JK12" i="12" s="1"/>
  <c r="JK10" i="12" s="1"/>
  <c r="JB11" i="12"/>
  <c r="JB12" i="12" s="1"/>
  <c r="JB10" i="12" s="1"/>
  <c r="IS11" i="12"/>
  <c r="IS12" i="12" s="1"/>
  <c r="IS10" i="12" s="1"/>
  <c r="IJ11" i="12"/>
  <c r="IJ12" i="12" s="1"/>
  <c r="IJ10" i="12" s="1"/>
  <c r="IA11" i="12"/>
  <c r="IA12" i="12" s="1"/>
  <c r="IA10" i="12" s="1"/>
  <c r="HQ11" i="12"/>
  <c r="HQ12" i="12" s="1"/>
  <c r="HQ10" i="12" s="1"/>
  <c r="HH11" i="12"/>
  <c r="HH12" i="12" s="1"/>
  <c r="HH10" i="12" s="1"/>
  <c r="GZ11" i="12"/>
  <c r="GZ12" i="12" s="1"/>
  <c r="GZ10" i="12" s="1"/>
  <c r="GR11" i="12"/>
  <c r="GR12" i="12" s="1"/>
  <c r="GR10" i="12" s="1"/>
  <c r="GJ11" i="12"/>
  <c r="GJ12" i="12" s="1"/>
  <c r="GJ10" i="12" s="1"/>
  <c r="GB11" i="12"/>
  <c r="GB12" i="12" s="1"/>
  <c r="GB10" i="12" s="1"/>
  <c r="FT11" i="12"/>
  <c r="FT12" i="12" s="1"/>
  <c r="FT10" i="12" s="1"/>
  <c r="FL11" i="12"/>
  <c r="FL12" i="12" s="1"/>
  <c r="FL10" i="12" s="1"/>
  <c r="FD11" i="12"/>
  <c r="FD12" i="12" s="1"/>
  <c r="FD10" i="12" s="1"/>
  <c r="EV11" i="12"/>
  <c r="EV12" i="12" s="1"/>
  <c r="EV10" i="12" s="1"/>
  <c r="EN11" i="12"/>
  <c r="EN12" i="12" s="1"/>
  <c r="EN10" i="12" s="1"/>
  <c r="EF11" i="12"/>
  <c r="EF12" i="12" s="1"/>
  <c r="EF10" i="12" s="1"/>
  <c r="DX11" i="12"/>
  <c r="DX12" i="12" s="1"/>
  <c r="DX10" i="12" s="1"/>
  <c r="DP11" i="12"/>
  <c r="DP12" i="12" s="1"/>
  <c r="DP10" i="12" s="1"/>
  <c r="DH11" i="12"/>
  <c r="DH12" i="12" s="1"/>
  <c r="DH10" i="12" s="1"/>
  <c r="CZ11" i="12"/>
  <c r="CZ12" i="12" s="1"/>
  <c r="CZ10" i="12" s="1"/>
  <c r="ND11" i="12"/>
  <c r="ND12" i="12" s="1"/>
  <c r="ND10" i="12" s="1"/>
  <c r="MU11" i="12"/>
  <c r="MU12" i="12" s="1"/>
  <c r="MU10" i="12" s="1"/>
  <c r="ML11" i="12"/>
  <c r="ML12" i="12" s="1"/>
  <c r="ML10" i="12" s="1"/>
  <c r="MC11" i="12"/>
  <c r="MC12" i="12" s="1"/>
  <c r="MC10" i="12" s="1"/>
  <c r="LT11" i="12"/>
  <c r="LT12" i="12" s="1"/>
  <c r="LT10" i="12" s="1"/>
  <c r="LK11" i="12"/>
  <c r="LK12" i="12" s="1"/>
  <c r="LK10" i="12" s="1"/>
  <c r="LA11" i="12"/>
  <c r="LA12" i="12" s="1"/>
  <c r="LA10" i="12" s="1"/>
  <c r="KR11" i="12"/>
  <c r="KR12" i="12" s="1"/>
  <c r="KR10" i="12" s="1"/>
  <c r="KI11" i="12"/>
  <c r="KI12" i="12" s="1"/>
  <c r="KI10" i="12" s="1"/>
  <c r="JZ11" i="12"/>
  <c r="JZ12" i="12" s="1"/>
  <c r="JZ10" i="12" s="1"/>
  <c r="JQ11" i="12"/>
  <c r="JQ12" i="12" s="1"/>
  <c r="JQ10" i="12" s="1"/>
  <c r="JH11" i="12"/>
  <c r="JH12" i="12" s="1"/>
  <c r="JH10" i="12" s="1"/>
  <c r="IY11" i="12"/>
  <c r="IY12" i="12" s="1"/>
  <c r="IY10" i="12" s="1"/>
  <c r="IO11" i="12"/>
  <c r="IO12" i="12" s="1"/>
  <c r="IO10" i="12" s="1"/>
  <c r="IF11" i="12"/>
  <c r="IF12" i="12" s="1"/>
  <c r="IF10" i="12" s="1"/>
  <c r="HW11" i="12"/>
  <c r="HW12" i="12" s="1"/>
  <c r="HW10" i="12" s="1"/>
  <c r="HN11" i="12"/>
  <c r="HN12" i="12" s="1"/>
  <c r="HN10" i="12" s="1"/>
  <c r="HE11" i="12"/>
  <c r="HE12" i="12" s="1"/>
  <c r="HE10" i="12" s="1"/>
  <c r="GW11" i="12"/>
  <c r="GW12" i="12" s="1"/>
  <c r="GW10" i="12" s="1"/>
  <c r="GO11" i="12"/>
  <c r="GO12" i="12" s="1"/>
  <c r="GO10" i="12" s="1"/>
  <c r="GG11" i="12"/>
  <c r="GG12" i="12" s="1"/>
  <c r="GG10" i="12" s="1"/>
  <c r="FY11" i="12"/>
  <c r="FY12" i="12" s="1"/>
  <c r="FY10" i="12" s="1"/>
  <c r="FQ11" i="12"/>
  <c r="FQ12" i="12" s="1"/>
  <c r="FQ10" i="12" s="1"/>
  <c r="FI11" i="12"/>
  <c r="FI12" i="12" s="1"/>
  <c r="FI10" i="12" s="1"/>
  <c r="FA11" i="12"/>
  <c r="FA12" i="12" s="1"/>
  <c r="FA10" i="12" s="1"/>
  <c r="ES11" i="12"/>
  <c r="ES12" i="12" s="1"/>
  <c r="ES10" i="12" s="1"/>
  <c r="EK11" i="12"/>
  <c r="EK12" i="12" s="1"/>
  <c r="EK10" i="12" s="1"/>
  <c r="EC11" i="12"/>
  <c r="EC12" i="12" s="1"/>
  <c r="EC10" i="12" s="1"/>
  <c r="DU11" i="12"/>
  <c r="DU12" i="12" s="1"/>
  <c r="DU10" i="12" s="1"/>
  <c r="DM11" i="12"/>
  <c r="DM12" i="12" s="1"/>
  <c r="DM10" i="12" s="1"/>
  <c r="DE11" i="12"/>
  <c r="DE12" i="12" s="1"/>
  <c r="DE10" i="12" s="1"/>
  <c r="CW11" i="12"/>
  <c r="CW12" i="12" s="1"/>
  <c r="CW10" i="12" s="1"/>
  <c r="CO11" i="12"/>
  <c r="CO12" i="12" s="1"/>
  <c r="CO10" i="12" s="1"/>
  <c r="CG11" i="12"/>
  <c r="CG12" i="12" s="1"/>
  <c r="CG10" i="12" s="1"/>
  <c r="BY11" i="12"/>
  <c r="BY12" i="12" s="1"/>
  <c r="BY10" i="12" s="1"/>
  <c r="BQ11" i="12"/>
  <c r="BQ12" i="12" s="1"/>
  <c r="BQ10" i="12" s="1"/>
  <c r="BA11" i="12"/>
  <c r="BA12" i="12" s="1"/>
  <c r="BA10" i="12" s="1"/>
  <c r="AS11" i="12"/>
  <c r="AS12" i="12" s="1"/>
  <c r="AS10" i="12" s="1"/>
  <c r="AK11" i="12"/>
  <c r="AK12" i="12" s="1"/>
  <c r="AK10" i="12" s="1"/>
  <c r="AC11" i="12"/>
  <c r="AC12" i="12" s="1"/>
  <c r="AC10" i="12" s="1"/>
  <c r="U11" i="12"/>
  <c r="U12" i="12" s="1"/>
  <c r="U10" i="12" s="1"/>
  <c r="M11" i="12"/>
  <c r="M12" i="12" s="1"/>
  <c r="M10" i="12" s="1"/>
  <c r="E11" i="12"/>
  <c r="E12" i="12" s="1"/>
  <c r="E10" i="12" s="1"/>
  <c r="NB11" i="12"/>
  <c r="NB12" i="12" s="1"/>
  <c r="NB10" i="12" s="1"/>
  <c r="MQ11" i="12"/>
  <c r="MQ12" i="12" s="1"/>
  <c r="MQ10" i="12" s="1"/>
  <c r="MD11" i="12"/>
  <c r="MD12" i="12" s="1"/>
  <c r="MD10" i="12" s="1"/>
  <c r="LQ11" i="12"/>
  <c r="LQ12" i="12" s="1"/>
  <c r="LQ10" i="12" s="1"/>
  <c r="LF11" i="12"/>
  <c r="LF12" i="12" s="1"/>
  <c r="LF10" i="12" s="1"/>
  <c r="KS11" i="12"/>
  <c r="KS12" i="12" s="1"/>
  <c r="KS10" i="12" s="1"/>
  <c r="KG11" i="12"/>
  <c r="KG12" i="12" s="1"/>
  <c r="KG10" i="12" s="1"/>
  <c r="JU11" i="12"/>
  <c r="JU12" i="12" s="1"/>
  <c r="JU10" i="12" s="1"/>
  <c r="JI11" i="12"/>
  <c r="JI12" i="12" s="1"/>
  <c r="JI10" i="12" s="1"/>
  <c r="IV11" i="12"/>
  <c r="IV12" i="12" s="1"/>
  <c r="IV10" i="12" s="1"/>
  <c r="IK11" i="12"/>
  <c r="IK12" i="12" s="1"/>
  <c r="IK10" i="12" s="1"/>
  <c r="HX11" i="12"/>
  <c r="HX12" i="12" s="1"/>
  <c r="HX10" i="12" s="1"/>
  <c r="HL11" i="12"/>
  <c r="HL12" i="12" s="1"/>
  <c r="HL10" i="12" s="1"/>
  <c r="HA11" i="12"/>
  <c r="HA12" i="12" s="1"/>
  <c r="HA10" i="12" s="1"/>
  <c r="GP11" i="12"/>
  <c r="GP12" i="12" s="1"/>
  <c r="GP10" i="12" s="1"/>
  <c r="GE11" i="12"/>
  <c r="GE12" i="12" s="1"/>
  <c r="GE10" i="12" s="1"/>
  <c r="FU11" i="12"/>
  <c r="FU12" i="12" s="1"/>
  <c r="FU10" i="12" s="1"/>
  <c r="FJ11" i="12"/>
  <c r="FJ12" i="12" s="1"/>
  <c r="FJ10" i="12" s="1"/>
  <c r="EY11" i="12"/>
  <c r="EY12" i="12" s="1"/>
  <c r="EY10" i="12" s="1"/>
  <c r="EO11" i="12"/>
  <c r="EO12" i="12" s="1"/>
  <c r="EO10" i="12" s="1"/>
  <c r="ED11" i="12"/>
  <c r="ED12" i="12" s="1"/>
  <c r="ED10" i="12" s="1"/>
  <c r="DS11" i="12"/>
  <c r="DS12" i="12" s="1"/>
  <c r="DS10" i="12" s="1"/>
  <c r="DI11" i="12"/>
  <c r="DI12" i="12" s="1"/>
  <c r="DI10" i="12" s="1"/>
  <c r="CX11" i="12"/>
  <c r="CX12" i="12" s="1"/>
  <c r="CX10" i="12" s="1"/>
  <c r="CN11" i="12"/>
  <c r="CN12" i="12" s="1"/>
  <c r="CN10" i="12" s="1"/>
  <c r="CE11" i="12"/>
  <c r="CE12" i="12" s="1"/>
  <c r="CE10" i="12" s="1"/>
  <c r="BV11" i="12"/>
  <c r="BV12" i="12" s="1"/>
  <c r="BV10" i="12" s="1"/>
  <c r="BM11" i="12"/>
  <c r="BM12" i="12" s="1"/>
  <c r="BM10" i="12" s="1"/>
  <c r="BD11" i="12"/>
  <c r="BD12" i="12" s="1"/>
  <c r="BD10" i="12" s="1"/>
  <c r="AU11" i="12"/>
  <c r="AU12" i="12" s="1"/>
  <c r="AU10" i="12" s="1"/>
  <c r="AL11" i="12"/>
  <c r="AL12" i="12" s="1"/>
  <c r="AL10" i="12" s="1"/>
  <c r="AB11" i="12"/>
  <c r="AB12" i="12" s="1"/>
  <c r="AB10" i="12" s="1"/>
  <c r="S11" i="12"/>
  <c r="S12" i="12" s="1"/>
  <c r="S10" i="12" s="1"/>
  <c r="J11" i="12"/>
  <c r="J12" i="12" s="1"/>
  <c r="J10" i="12" s="1"/>
  <c r="NI11" i="12"/>
  <c r="NI12" i="12" s="1"/>
  <c r="NI10" i="12" s="1"/>
  <c r="MT11" i="12"/>
  <c r="MT12" i="12" s="1"/>
  <c r="MT10" i="12" s="1"/>
  <c r="MG11" i="12"/>
  <c r="MG12" i="12" s="1"/>
  <c r="MG10" i="12" s="1"/>
  <c r="LS11" i="12"/>
  <c r="LS12" i="12" s="1"/>
  <c r="LS10" i="12" s="1"/>
  <c r="LD11" i="12"/>
  <c r="LD12" i="12" s="1"/>
  <c r="LD10" i="12" s="1"/>
  <c r="KP11" i="12"/>
  <c r="KP12" i="12" s="1"/>
  <c r="KP10" i="12" s="1"/>
  <c r="KB11" i="12"/>
  <c r="KB12" i="12" s="1"/>
  <c r="KB10" i="12" s="1"/>
  <c r="JO11" i="12"/>
  <c r="JO12" i="12" s="1"/>
  <c r="JO10" i="12" s="1"/>
  <c r="JA11" i="12"/>
  <c r="JA12" i="12" s="1"/>
  <c r="JA10" i="12" s="1"/>
  <c r="IM11" i="12"/>
  <c r="IM12" i="12" s="1"/>
  <c r="IM10" i="12" s="1"/>
  <c r="HY11" i="12"/>
  <c r="HY12" i="12" s="1"/>
  <c r="HY10" i="12" s="1"/>
  <c r="HK11" i="12"/>
  <c r="HK12" i="12" s="1"/>
  <c r="HK10" i="12" s="1"/>
  <c r="GX11" i="12"/>
  <c r="GX12" i="12" s="1"/>
  <c r="GX10" i="12" s="1"/>
  <c r="GL11" i="12"/>
  <c r="GL12" i="12" s="1"/>
  <c r="GL10" i="12" s="1"/>
  <c r="FZ11" i="12"/>
  <c r="FZ12" i="12" s="1"/>
  <c r="FZ10" i="12" s="1"/>
  <c r="FN11" i="12"/>
  <c r="FN12" i="12" s="1"/>
  <c r="FN10" i="12" s="1"/>
  <c r="FB11" i="12"/>
  <c r="FB12" i="12" s="1"/>
  <c r="FB10" i="12" s="1"/>
  <c r="EP11" i="12"/>
  <c r="EP12" i="12" s="1"/>
  <c r="EP10" i="12" s="1"/>
  <c r="EB11" i="12"/>
  <c r="EB12" i="12" s="1"/>
  <c r="EB10" i="12" s="1"/>
  <c r="DQ11" i="12"/>
  <c r="DQ12" i="12" s="1"/>
  <c r="DQ10" i="12" s="1"/>
  <c r="DD11" i="12"/>
  <c r="DD12" i="12" s="1"/>
  <c r="DD10" i="12" s="1"/>
  <c r="CS11" i="12"/>
  <c r="CS12" i="12" s="1"/>
  <c r="CS10" i="12" s="1"/>
  <c r="CI11" i="12"/>
  <c r="CI12" i="12" s="1"/>
  <c r="CI10" i="12" s="1"/>
  <c r="BX11" i="12"/>
  <c r="BX12" i="12" s="1"/>
  <c r="BX10" i="12" s="1"/>
  <c r="BN11" i="12"/>
  <c r="BN12" i="12" s="1"/>
  <c r="BN10" i="12" s="1"/>
  <c r="BC11" i="12"/>
  <c r="BC12" i="12" s="1"/>
  <c r="BC10" i="12" s="1"/>
  <c r="AR11" i="12"/>
  <c r="AR12" i="12" s="1"/>
  <c r="AR10" i="12" s="1"/>
  <c r="AH11" i="12"/>
  <c r="AH12" i="12" s="1"/>
  <c r="AH10" i="12" s="1"/>
  <c r="X11" i="12"/>
  <c r="X12" i="12" s="1"/>
  <c r="X10" i="12" s="1"/>
  <c r="N11" i="12"/>
  <c r="N12" i="12" s="1"/>
  <c r="N10" i="12" s="1"/>
  <c r="C11" i="12"/>
  <c r="C12" i="12" s="1"/>
  <c r="C10" i="12" s="1"/>
  <c r="NG11" i="12"/>
  <c r="NG12" i="12" s="1"/>
  <c r="NG10" i="12" s="1"/>
  <c r="MS11" i="12"/>
  <c r="MS12" i="12" s="1"/>
  <c r="MS10" i="12" s="1"/>
  <c r="ME11" i="12"/>
  <c r="ME12" i="12" s="1"/>
  <c r="ME10" i="12" s="1"/>
  <c r="LP11" i="12"/>
  <c r="LP12" i="12" s="1"/>
  <c r="LP10" i="12" s="1"/>
  <c r="LC11" i="12"/>
  <c r="LC12" i="12" s="1"/>
  <c r="LC10" i="12" s="1"/>
  <c r="KO11" i="12"/>
  <c r="KO12" i="12" s="1"/>
  <c r="KO10" i="12" s="1"/>
  <c r="KA11" i="12"/>
  <c r="KA12" i="12" s="1"/>
  <c r="KA10" i="12" s="1"/>
  <c r="JM11" i="12"/>
  <c r="JM12" i="12" s="1"/>
  <c r="JM10" i="12" s="1"/>
  <c r="IZ11" i="12"/>
  <c r="IZ12" i="12" s="1"/>
  <c r="IZ10" i="12" s="1"/>
  <c r="IL11" i="12"/>
  <c r="IL12" i="12" s="1"/>
  <c r="IL10" i="12" s="1"/>
  <c r="HV11" i="12"/>
  <c r="HV12" i="12" s="1"/>
  <c r="HV10" i="12" s="1"/>
  <c r="HI11" i="12"/>
  <c r="HI12" i="12" s="1"/>
  <c r="HI10" i="12" s="1"/>
  <c r="GV11" i="12"/>
  <c r="GV12" i="12" s="1"/>
  <c r="GV10" i="12" s="1"/>
  <c r="GK11" i="12"/>
  <c r="GK12" i="12" s="1"/>
  <c r="GK10" i="12" s="1"/>
  <c r="FX11" i="12"/>
  <c r="FX12" i="12" s="1"/>
  <c r="FX10" i="12" s="1"/>
  <c r="FM11" i="12"/>
  <c r="FM12" i="12" s="1"/>
  <c r="FM10" i="12" s="1"/>
  <c r="EZ11" i="12"/>
  <c r="EZ12" i="12" s="1"/>
  <c r="EZ10" i="12" s="1"/>
  <c r="EM11" i="12"/>
  <c r="EM12" i="12" s="1"/>
  <c r="EM10" i="12" s="1"/>
  <c r="EA11" i="12"/>
  <c r="EA12" i="12" s="1"/>
  <c r="EA10" i="12" s="1"/>
  <c r="DO11" i="12"/>
  <c r="DO12" i="12" s="1"/>
  <c r="DO10" i="12" s="1"/>
  <c r="DC11" i="12"/>
  <c r="DC12" i="12" s="1"/>
  <c r="DC10" i="12" s="1"/>
  <c r="CR11" i="12"/>
  <c r="CR12" i="12" s="1"/>
  <c r="CR10" i="12" s="1"/>
  <c r="CH11" i="12"/>
  <c r="CH12" i="12" s="1"/>
  <c r="CH10" i="12" s="1"/>
  <c r="BW11" i="12"/>
  <c r="BW12" i="12" s="1"/>
  <c r="BW10" i="12" s="1"/>
  <c r="BL11" i="12"/>
  <c r="BL12" i="12" s="1"/>
  <c r="BL10" i="12" s="1"/>
  <c r="BB11" i="12"/>
  <c r="BB12" i="12" s="1"/>
  <c r="BB10" i="12" s="1"/>
  <c r="AQ11" i="12"/>
  <c r="AQ12" i="12" s="1"/>
  <c r="AQ10" i="12" s="1"/>
  <c r="AG11" i="12"/>
  <c r="AG12" i="12" s="1"/>
  <c r="AG10" i="12" s="1"/>
  <c r="W11" i="12"/>
  <c r="W12" i="12" s="1"/>
  <c r="W10" i="12" s="1"/>
  <c r="L11" i="12"/>
  <c r="L12" i="12" s="1"/>
  <c r="L10" i="12" s="1"/>
  <c r="B11" i="12"/>
  <c r="B12" i="12" s="1"/>
  <c r="B10" i="12" s="1"/>
  <c r="NE11" i="12"/>
  <c r="NE12" i="12" s="1"/>
  <c r="NE10" i="12" s="1"/>
  <c r="MR11" i="12"/>
  <c r="MR12" i="12" s="1"/>
  <c r="MR10" i="12" s="1"/>
  <c r="MB11" i="12"/>
  <c r="MB12" i="12" s="1"/>
  <c r="MB10" i="12" s="1"/>
  <c r="LO11" i="12"/>
  <c r="LO12" i="12" s="1"/>
  <c r="LO10" i="12" s="1"/>
  <c r="KZ11" i="12"/>
  <c r="KZ12" i="12" s="1"/>
  <c r="KZ10" i="12" s="1"/>
  <c r="KN11" i="12"/>
  <c r="KN12" i="12" s="1"/>
  <c r="KN10" i="12" s="1"/>
  <c r="JY11" i="12"/>
  <c r="JY12" i="12" s="1"/>
  <c r="JY10" i="12" s="1"/>
  <c r="JL11" i="12"/>
  <c r="JL12" i="12" s="1"/>
  <c r="JL10" i="12" s="1"/>
  <c r="IW11" i="12"/>
  <c r="IW12" i="12" s="1"/>
  <c r="IW10" i="12" s="1"/>
  <c r="II11" i="12"/>
  <c r="II12" i="12" s="1"/>
  <c r="II10" i="12" s="1"/>
  <c r="HU11" i="12"/>
  <c r="HU12" i="12" s="1"/>
  <c r="HU10" i="12" s="1"/>
  <c r="HG11" i="12"/>
  <c r="HG12" i="12" s="1"/>
  <c r="HG10" i="12" s="1"/>
  <c r="GU11" i="12"/>
  <c r="GU12" i="12" s="1"/>
  <c r="GU10" i="12" s="1"/>
  <c r="GI11" i="12"/>
  <c r="GI12" i="12" s="1"/>
  <c r="GI10" i="12" s="1"/>
  <c r="FW11" i="12"/>
  <c r="FW12" i="12" s="1"/>
  <c r="FW10" i="12" s="1"/>
  <c r="FK11" i="12"/>
  <c r="FK12" i="12" s="1"/>
  <c r="FK10" i="12" s="1"/>
  <c r="EX11" i="12"/>
  <c r="EX12" i="12" s="1"/>
  <c r="EX10" i="12" s="1"/>
  <c r="EL11" i="12"/>
  <c r="EL12" i="12" s="1"/>
  <c r="EL10" i="12" s="1"/>
  <c r="DZ11" i="12"/>
  <c r="DZ12" i="12" s="1"/>
  <c r="DZ10" i="12" s="1"/>
  <c r="DN11" i="12"/>
  <c r="DN12" i="12" s="1"/>
  <c r="DN10" i="12" s="1"/>
  <c r="DB11" i="12"/>
  <c r="DB12" i="12" s="1"/>
  <c r="DB10" i="12" s="1"/>
  <c r="CQ11" i="12"/>
  <c r="CQ12" i="12" s="1"/>
  <c r="CQ10" i="12" s="1"/>
  <c r="CF11" i="12"/>
  <c r="CF12" i="12" s="1"/>
  <c r="CF10" i="12" s="1"/>
  <c r="BU11" i="12"/>
  <c r="BU12" i="12" s="1"/>
  <c r="BU10" i="12" s="1"/>
  <c r="AZ11" i="12"/>
  <c r="AZ12" i="12" s="1"/>
  <c r="AZ10" i="12" s="1"/>
  <c r="AP11" i="12"/>
  <c r="AP12" i="12" s="1"/>
  <c r="AP10" i="12" s="1"/>
  <c r="AF11" i="12"/>
  <c r="AF12" i="12" s="1"/>
  <c r="AF10" i="12" s="1"/>
  <c r="V11" i="12"/>
  <c r="V12" i="12" s="1"/>
  <c r="V10" i="12" s="1"/>
  <c r="K11" i="12"/>
  <c r="K12" i="12" s="1"/>
  <c r="K10" i="12" s="1"/>
  <c r="I11" i="12"/>
  <c r="I12" i="12" s="1"/>
  <c r="I10" i="12" s="1"/>
  <c r="AA11" i="12"/>
  <c r="AA12" i="12" s="1"/>
  <c r="AA10" i="12" s="1"/>
  <c r="AT11" i="12"/>
  <c r="AT12" i="12" s="1"/>
  <c r="AT10" i="12" s="1"/>
  <c r="BH11" i="12"/>
  <c r="BH12" i="12" s="1"/>
  <c r="BH10" i="12" s="1"/>
  <c r="CA11" i="12"/>
  <c r="CA12" i="12" s="1"/>
  <c r="CA10" i="12" s="1"/>
  <c r="CP11" i="12"/>
  <c r="CP12" i="12" s="1"/>
  <c r="CP10" i="12" s="1"/>
  <c r="DJ11" i="12"/>
  <c r="DJ12" i="12" s="1"/>
  <c r="DJ10" i="12" s="1"/>
  <c r="EE11" i="12"/>
  <c r="EE12" i="12" s="1"/>
  <c r="EE10" i="12" s="1"/>
  <c r="EU11" i="12"/>
  <c r="EU12" i="12" s="1"/>
  <c r="EU10" i="12" s="1"/>
  <c r="FP11" i="12"/>
  <c r="FP12" i="12" s="1"/>
  <c r="FP10" i="12" s="1"/>
  <c r="GH11" i="12"/>
  <c r="GH12" i="12" s="1"/>
  <c r="GH10" i="12" s="1"/>
  <c r="HC11" i="12"/>
  <c r="HC12" i="12" s="1"/>
  <c r="HC10" i="12" s="1"/>
  <c r="IB11" i="12"/>
  <c r="IB12" i="12" s="1"/>
  <c r="IB10" i="12" s="1"/>
  <c r="IT11" i="12"/>
  <c r="IT12" i="12" s="1"/>
  <c r="IT10" i="12" s="1"/>
  <c r="JR11" i="12"/>
  <c r="JR12" i="12" s="1"/>
  <c r="JR10" i="12" s="1"/>
  <c r="KK11" i="12"/>
  <c r="KK12" i="12" s="1"/>
  <c r="KK10" i="12" s="1"/>
  <c r="LI11" i="12"/>
  <c r="LI12" i="12" s="1"/>
  <c r="LI10" i="12" s="1"/>
  <c r="MI11" i="12"/>
  <c r="MI12" i="12" s="1"/>
  <c r="MI10" i="12" s="1"/>
  <c r="NA11" i="12"/>
  <c r="NA12" i="12" s="1"/>
  <c r="NA10" i="12" s="1"/>
  <c r="NQ58" i="12" a="1"/>
  <c r="NQ58" i="12" s="1"/>
  <c r="NS54" i="12" a="1"/>
  <c r="NS54" i="12" s="1"/>
  <c r="NR52" i="12" a="1"/>
  <c r="NR52" i="12" s="1"/>
  <c r="NQ50" i="12" a="1"/>
  <c r="NQ50" i="12" s="1"/>
  <c r="NS46" i="12" a="1"/>
  <c r="NS46" i="12" s="1"/>
  <c r="NR44" i="12" a="1"/>
  <c r="NR44" i="12" s="1"/>
  <c r="NQ42" i="12" a="1"/>
  <c r="NQ42" i="12" s="1"/>
  <c r="NS38" i="12" a="1"/>
  <c r="NS38" i="12" s="1"/>
  <c r="NR36" i="12" a="1"/>
  <c r="NR36" i="12" s="1"/>
  <c r="NQ34" i="12" a="1"/>
  <c r="NQ34" i="12" s="1"/>
  <c r="NS30" i="12" a="1"/>
  <c r="NS30" i="12" s="1"/>
  <c r="NR28" i="12" a="1"/>
  <c r="NR28" i="12" s="1"/>
  <c r="NQ26" i="12" a="1"/>
  <c r="NQ26" i="12" s="1"/>
  <c r="NS22" i="12" a="1"/>
  <c r="NS22" i="12" s="1"/>
  <c r="NR20" i="12" a="1"/>
  <c r="NR20" i="12" s="1"/>
  <c r="NQ18" i="12" a="1"/>
  <c r="NQ18" i="12" s="1"/>
  <c r="NS55" i="12" a="1"/>
  <c r="NS55" i="12" s="1"/>
  <c r="NR53" i="12" a="1"/>
  <c r="NR53" i="12" s="1"/>
  <c r="NQ51" i="12" a="1"/>
  <c r="NQ51" i="12" s="1"/>
  <c r="NS47" i="12" a="1"/>
  <c r="NS47" i="12" s="1"/>
  <c r="NR45" i="12" a="1"/>
  <c r="NR45" i="12" s="1"/>
  <c r="NQ43" i="12" a="1"/>
  <c r="NQ43" i="12" s="1"/>
  <c r="NS39" i="12" a="1"/>
  <c r="NS39" i="12" s="1"/>
  <c r="NR37" i="12" a="1"/>
  <c r="NR37" i="12" s="1"/>
  <c r="NQ35" i="12" a="1"/>
  <c r="NQ35" i="12" s="1"/>
  <c r="NS56" i="12" a="1"/>
  <c r="NS56" i="12" s="1"/>
  <c r="NR54" i="12" a="1"/>
  <c r="NR54" i="12" s="1"/>
  <c r="NQ52" i="12" a="1"/>
  <c r="NQ52" i="12" s="1"/>
  <c r="NS48" i="12" a="1"/>
  <c r="NS48" i="12" s="1"/>
  <c r="NR46" i="12" a="1"/>
  <c r="NR46" i="12" s="1"/>
  <c r="NQ44" i="12" a="1"/>
  <c r="NQ44" i="12" s="1"/>
  <c r="NS40" i="12" a="1"/>
  <c r="NS40" i="12" s="1"/>
  <c r="NR38" i="12" a="1"/>
  <c r="NR38" i="12" s="1"/>
  <c r="NQ36" i="12" a="1"/>
  <c r="NQ36" i="12" s="1"/>
  <c r="NS32" i="12" a="1"/>
  <c r="NS32" i="12" s="1"/>
  <c r="NR30" i="12" a="1"/>
  <c r="NR30" i="12" s="1"/>
  <c r="NQ28" i="12" a="1"/>
  <c r="NQ28" i="12" s="1"/>
  <c r="NS24" i="12" a="1"/>
  <c r="NS24" i="12" s="1"/>
  <c r="NR22" i="12" a="1"/>
  <c r="NR22" i="12" s="1"/>
  <c r="NQ20" i="12" a="1"/>
  <c r="NQ20" i="12" s="1"/>
  <c r="NS57" i="12" a="1"/>
  <c r="NS57" i="12" s="1"/>
  <c r="NR55" i="12" a="1"/>
  <c r="NR55" i="12" s="1"/>
  <c r="NQ53" i="12" a="1"/>
  <c r="NQ53" i="12" s="1"/>
  <c r="NS49" i="12" a="1"/>
  <c r="NS49" i="12" s="1"/>
  <c r="NR47" i="12" a="1"/>
  <c r="NR47" i="12" s="1"/>
  <c r="NQ45" i="12" a="1"/>
  <c r="NQ45" i="12" s="1"/>
  <c r="NS41" i="12" a="1"/>
  <c r="NS41" i="12" s="1"/>
  <c r="NR39" i="12" a="1"/>
  <c r="NR39" i="12" s="1"/>
  <c r="NQ37" i="12" a="1"/>
  <c r="NQ37" i="12" s="1"/>
  <c r="NS33" i="12" a="1"/>
  <c r="NS33" i="12" s="1"/>
  <c r="NR31" i="12" a="1"/>
  <c r="NR31" i="12" s="1"/>
  <c r="NQ29" i="12" a="1"/>
  <c r="NQ29" i="12" s="1"/>
  <c r="NS25" i="12" a="1"/>
  <c r="NS25" i="12" s="1"/>
  <c r="NR23" i="12" a="1"/>
  <c r="NR23" i="12" s="1"/>
  <c r="NQ21" i="12" a="1"/>
  <c r="NQ21" i="12" s="1"/>
  <c r="NS17" i="12" a="1"/>
  <c r="NS17" i="12" s="1"/>
  <c r="NR15" i="12" a="1"/>
  <c r="NR15" i="12" s="1"/>
  <c r="NS58" i="12" a="1"/>
  <c r="NS58" i="12" s="1"/>
  <c r="NR56" i="12" a="1"/>
  <c r="NR56" i="12" s="1"/>
  <c r="NQ54" i="12" a="1"/>
  <c r="NQ54" i="12" s="1"/>
  <c r="NS50" i="12" a="1"/>
  <c r="NS50" i="12" s="1"/>
  <c r="NR48" i="12" a="1"/>
  <c r="NR48" i="12" s="1"/>
  <c r="NQ46" i="12" a="1"/>
  <c r="NQ46" i="12" s="1"/>
  <c r="NS42" i="12" a="1"/>
  <c r="NS42" i="12" s="1"/>
  <c r="NR40" i="12" a="1"/>
  <c r="NR40" i="12" s="1"/>
  <c r="NQ38" i="12" a="1"/>
  <c r="NQ38" i="12" s="1"/>
  <c r="NS34" i="12" a="1"/>
  <c r="NS34" i="12" s="1"/>
  <c r="NR32" i="12" a="1"/>
  <c r="NR32" i="12" s="1"/>
  <c r="NQ30" i="12" a="1"/>
  <c r="NQ30" i="12" s="1"/>
  <c r="NS26" i="12" a="1"/>
  <c r="NS26" i="12" s="1"/>
  <c r="NR24" i="12" a="1"/>
  <c r="NR24" i="12" s="1"/>
  <c r="NQ22" i="12" a="1"/>
  <c r="NQ22" i="12" s="1"/>
  <c r="NR57" i="12" a="1"/>
  <c r="NR57" i="12" s="1"/>
  <c r="NQ55" i="12" a="1"/>
  <c r="NQ55" i="12" s="1"/>
  <c r="NS51" i="12" a="1"/>
  <c r="NS51" i="12" s="1"/>
  <c r="NR49" i="12" a="1"/>
  <c r="NR49" i="12" s="1"/>
  <c r="NQ47" i="12" a="1"/>
  <c r="NQ47" i="12" s="1"/>
  <c r="NS43" i="12" a="1"/>
  <c r="NS43" i="12" s="1"/>
  <c r="NR41" i="12" a="1"/>
  <c r="NR41" i="12" s="1"/>
  <c r="NQ39" i="12" a="1"/>
  <c r="NQ39" i="12" s="1"/>
  <c r="NS35" i="12" a="1"/>
  <c r="NS35" i="12" s="1"/>
  <c r="NR33" i="12" a="1"/>
  <c r="NR33" i="12" s="1"/>
  <c r="NQ31" i="12" a="1"/>
  <c r="NQ31" i="12" s="1"/>
  <c r="NS27" i="12" a="1"/>
  <c r="NS27" i="12" s="1"/>
  <c r="NR25" i="12" a="1"/>
  <c r="NR25" i="12" s="1"/>
  <c r="NQ23" i="12" a="1"/>
  <c r="NQ23" i="12" s="1"/>
  <c r="NS19" i="12" a="1"/>
  <c r="NS19" i="12" s="1"/>
  <c r="NR17" i="12" a="1"/>
  <c r="NR17" i="12" s="1"/>
  <c r="NR58" i="12" a="1"/>
  <c r="NR58" i="12" s="1"/>
  <c r="NQ56" i="12" a="1"/>
  <c r="NQ56" i="12" s="1"/>
  <c r="NS52" i="12" a="1"/>
  <c r="NS52" i="12" s="1"/>
  <c r="NR50" i="12" a="1"/>
  <c r="NR50" i="12" s="1"/>
  <c r="NQ48" i="12" a="1"/>
  <c r="NQ48" i="12" s="1"/>
  <c r="NS44" i="12" a="1"/>
  <c r="NS44" i="12" s="1"/>
  <c r="NR42" i="12" a="1"/>
  <c r="NR42" i="12" s="1"/>
  <c r="NQ40" i="12" a="1"/>
  <c r="NQ40" i="12" s="1"/>
  <c r="NS36" i="12" a="1"/>
  <c r="NS36" i="12" s="1"/>
  <c r="NR34" i="12" a="1"/>
  <c r="NR34" i="12" s="1"/>
  <c r="NQ32" i="12" a="1"/>
  <c r="NQ32" i="12" s="1"/>
  <c r="NS28" i="12" a="1"/>
  <c r="NS28" i="12" s="1"/>
  <c r="NR26" i="12" a="1"/>
  <c r="NR26" i="12" s="1"/>
  <c r="NQ24" i="12" a="1"/>
  <c r="NQ24" i="12" s="1"/>
  <c r="NS20" i="12" a="1"/>
  <c r="NS20" i="12" s="1"/>
  <c r="NR18" i="12" a="1"/>
  <c r="NR18" i="12" s="1"/>
  <c r="NQ16" i="12" a="1"/>
  <c r="NQ16" i="12" s="1"/>
  <c r="NQ57" i="12" a="1"/>
  <c r="NQ57" i="12" s="1"/>
  <c r="NS53" i="12" a="1"/>
  <c r="NS53" i="12" s="1"/>
  <c r="NQ49" i="12" a="1"/>
  <c r="NQ49" i="12" s="1"/>
  <c r="NS29" i="12" a="1"/>
  <c r="NS29" i="12" s="1"/>
  <c r="NR27" i="12" a="1"/>
  <c r="NR27" i="12" s="1"/>
  <c r="NR35" i="12" a="1"/>
  <c r="NR35" i="12" s="1"/>
  <c r="NR43" i="12" a="1"/>
  <c r="NR43" i="12" s="1"/>
  <c r="NR51" i="12" a="1"/>
  <c r="NR51" i="12" s="1"/>
  <c r="NS14" i="12" a="1"/>
  <c r="NS14" i="12" s="1"/>
  <c r="NR29" i="12" a="1"/>
  <c r="NR29" i="12" s="1"/>
  <c r="NS45" i="12" a="1"/>
  <c r="NS45" i="12" s="1"/>
  <c r="NQ33" i="12" a="1"/>
  <c r="NQ33" i="12" s="1"/>
  <c r="NS23" i="12" a="1"/>
  <c r="NS23" i="12" s="1"/>
  <c r="NS18" i="12" a="1"/>
  <c r="NS18" i="12" s="1"/>
  <c r="NQ41" i="12" a="1"/>
  <c r="NQ41" i="12" s="1"/>
  <c r="NS31" i="12" a="1"/>
  <c r="NS31" i="12" s="1"/>
  <c r="NQ25" i="12" a="1"/>
  <c r="NQ25" i="12" s="1"/>
  <c r="NS16" i="12" a="1"/>
  <c r="NS16" i="12" s="1"/>
  <c r="NS15" i="12" a="1"/>
  <c r="NS15" i="12" s="1"/>
  <c r="NS13" i="12" a="1"/>
  <c r="NS13" i="12" s="1"/>
  <c r="NS37" i="12" a="1"/>
  <c r="NS37" i="12" s="1"/>
  <c r="NQ27" i="12" a="1"/>
  <c r="NQ27" i="12" s="1"/>
  <c r="NR19" i="12" a="1"/>
  <c r="NR19" i="12" s="1"/>
  <c r="NS21" i="12" a="1"/>
  <c r="NS21" i="12" s="1"/>
  <c r="NQ15" i="12" a="1"/>
  <c r="NQ15" i="12" s="1"/>
  <c r="NR21" i="12" a="1"/>
  <c r="NR21" i="12" s="1"/>
  <c r="NR16" i="12" a="1"/>
  <c r="NR16" i="12" s="1"/>
  <c r="NQ19" i="12" a="1"/>
  <c r="NQ19" i="12" s="1"/>
  <c r="NR14" i="12" a="1"/>
  <c r="NR14" i="12" s="1"/>
  <c r="NR13" i="12" a="1"/>
  <c r="NR13" i="12" s="1"/>
  <c r="NQ17" i="12" a="1"/>
  <c r="NQ17" i="12" s="1"/>
  <c r="NQ14" i="12" a="1"/>
  <c r="NQ14" i="12" s="1"/>
  <c r="O11" i="12"/>
  <c r="O12" i="12" s="1"/>
  <c r="O10" i="12" s="1"/>
  <c r="AD11" i="12"/>
  <c r="AD12" i="12" s="1"/>
  <c r="AD10" i="12" s="1"/>
  <c r="AV11" i="12"/>
  <c r="AV12" i="12" s="1"/>
  <c r="AV10" i="12" s="1"/>
  <c r="CB11" i="12"/>
  <c r="CB12" i="12" s="1"/>
  <c r="CB10" i="12" s="1"/>
  <c r="CT11" i="12"/>
  <c r="CT12" i="12" s="1"/>
  <c r="CT10" i="12" s="1"/>
  <c r="DK11" i="12"/>
  <c r="DK12" i="12" s="1"/>
  <c r="DK10" i="12" s="1"/>
  <c r="EG11" i="12"/>
  <c r="EG12" i="12" s="1"/>
  <c r="EG10" i="12" s="1"/>
  <c r="EW11" i="12"/>
  <c r="EW12" i="12" s="1"/>
  <c r="EW10" i="12" s="1"/>
  <c r="FR11" i="12"/>
  <c r="FR12" i="12" s="1"/>
  <c r="FR10" i="12" s="1"/>
  <c r="GM11" i="12"/>
  <c r="GM12" i="12" s="1"/>
  <c r="GM10" i="12" s="1"/>
  <c r="HD11" i="12"/>
  <c r="HD12" i="12" s="1"/>
  <c r="HD10" i="12" s="1"/>
  <c r="IC11" i="12"/>
  <c r="IC12" i="12" s="1"/>
  <c r="IC10" i="12" s="1"/>
  <c r="IU11" i="12"/>
  <c r="IU12" i="12" s="1"/>
  <c r="IU10" i="12" s="1"/>
  <c r="JS11" i="12"/>
  <c r="JS12" i="12" s="1"/>
  <c r="JS10" i="12" s="1"/>
  <c r="KQ11" i="12"/>
  <c r="KQ12" i="12" s="1"/>
  <c r="KQ10" i="12" s="1"/>
  <c r="LL11" i="12"/>
  <c r="LL12" i="12" s="1"/>
  <c r="LL10" i="12" s="1"/>
  <c r="MJ11" i="12"/>
  <c r="MJ12" i="12" s="1"/>
  <c r="MJ10" i="12" s="1"/>
  <c r="NC11" i="12"/>
  <c r="NC12" i="12" s="1"/>
  <c r="NC10" i="12" s="1"/>
  <c r="P11" i="12"/>
  <c r="P12" i="12" s="1"/>
  <c r="P10" i="12" s="1"/>
  <c r="AE11" i="12"/>
  <c r="AE12" i="12" s="1"/>
  <c r="AE10" i="12" s="1"/>
  <c r="AW11" i="12"/>
  <c r="AW12" i="12" s="1"/>
  <c r="AW10" i="12" s="1"/>
  <c r="BO11" i="12"/>
  <c r="BO12" i="12" s="1"/>
  <c r="BO10" i="12" s="1"/>
  <c r="CC11" i="12"/>
  <c r="CC12" i="12" s="1"/>
  <c r="CC10" i="12" s="1"/>
  <c r="CU11" i="12"/>
  <c r="CU12" i="12" s="1"/>
  <c r="CU10" i="12" s="1"/>
  <c r="DL11" i="12"/>
  <c r="DL12" i="12" s="1"/>
  <c r="DL10" i="12" s="1"/>
  <c r="EH11" i="12"/>
  <c r="EH12" i="12" s="1"/>
  <c r="EH10" i="12" s="1"/>
  <c r="FC11" i="12"/>
  <c r="FC12" i="12" s="1"/>
  <c r="FC10" i="12" s="1"/>
  <c r="FS11" i="12"/>
  <c r="FS12" i="12" s="1"/>
  <c r="FS10" i="12" s="1"/>
  <c r="GN11" i="12"/>
  <c r="GN12" i="12" s="1"/>
  <c r="GN10" i="12" s="1"/>
  <c r="HF11" i="12"/>
  <c r="HF12" i="12" s="1"/>
  <c r="HF10" i="12" s="1"/>
  <c r="ID11" i="12"/>
  <c r="ID12" i="12" s="1"/>
  <c r="ID10" i="12" s="1"/>
  <c r="JC11" i="12"/>
  <c r="JC12" i="12" s="1"/>
  <c r="JC10" i="12" s="1"/>
  <c r="JW11" i="12"/>
  <c r="JW12" i="12" s="1"/>
  <c r="JW10" i="12" s="1"/>
  <c r="KU11" i="12"/>
  <c r="KU12" i="12" s="1"/>
  <c r="KU10" i="12" s="1"/>
  <c r="LM11" i="12"/>
  <c r="LM12" i="12" s="1"/>
  <c r="LM10" i="12" s="1"/>
  <c r="MK11" i="12"/>
  <c r="MK12" i="12" s="1"/>
  <c r="MK10" i="12" s="1"/>
  <c r="Q11" i="12"/>
  <c r="Q12" i="12" s="1"/>
  <c r="Q10" i="12" s="1"/>
  <c r="AI11" i="12"/>
  <c r="AI12" i="12" s="1"/>
  <c r="AI10" i="12" s="1"/>
  <c r="AX11" i="12"/>
  <c r="AX12" i="12" s="1"/>
  <c r="AX10" i="12" s="1"/>
  <c r="BP11" i="12"/>
  <c r="BP12" i="12" s="1"/>
  <c r="BP10" i="12" s="1"/>
  <c r="CD11" i="12"/>
  <c r="CD12" i="12" s="1"/>
  <c r="CD10" i="12" s="1"/>
  <c r="CV11" i="12"/>
  <c r="CV12" i="12" s="1"/>
  <c r="CV10" i="12" s="1"/>
  <c r="DR11" i="12"/>
  <c r="DR12" i="12" s="1"/>
  <c r="DR10" i="12" s="1"/>
  <c r="EI11" i="12"/>
  <c r="EI12" i="12" s="1"/>
  <c r="EI10" i="12" s="1"/>
  <c r="FE11" i="12"/>
  <c r="FE12" i="12" s="1"/>
  <c r="FE10" i="12" s="1"/>
  <c r="FV11" i="12"/>
  <c r="FV12" i="12" s="1"/>
  <c r="FV10" i="12" s="1"/>
  <c r="GQ11" i="12"/>
  <c r="GQ12" i="12" s="1"/>
  <c r="GQ10" i="12" s="1"/>
  <c r="HM11" i="12"/>
  <c r="HM12" i="12" s="1"/>
  <c r="HM10" i="12" s="1"/>
  <c r="IE11" i="12"/>
  <c r="IE12" i="12" s="1"/>
  <c r="IE10" i="12" s="1"/>
  <c r="JD11" i="12"/>
  <c r="JD12" i="12" s="1"/>
  <c r="JD10" i="12" s="1"/>
  <c r="JX11" i="12"/>
  <c r="JX12" i="12" s="1"/>
  <c r="JX10" i="12" s="1"/>
  <c r="KW11" i="12"/>
  <c r="KW12" i="12" s="1"/>
  <c r="KW10" i="12" s="1"/>
  <c r="LU11" i="12"/>
  <c r="LU12" i="12" s="1"/>
  <c r="LU10" i="12" s="1"/>
  <c r="MM11" i="12"/>
  <c r="MM12" i="12" s="1"/>
  <c r="MM10" i="12" s="1"/>
  <c r="D11" i="12"/>
  <c r="D12" i="12" s="1"/>
  <c r="D10" i="12" s="1"/>
  <c r="R11" i="12"/>
  <c r="R12" i="12" s="1"/>
  <c r="R10" i="12" s="1"/>
  <c r="AJ11" i="12"/>
  <c r="AJ12" i="12" s="1"/>
  <c r="AJ10" i="12" s="1"/>
  <c r="AY11" i="12"/>
  <c r="AY12" i="12" s="1"/>
  <c r="AY10" i="12" s="1"/>
  <c r="BR11" i="12"/>
  <c r="BR12" i="12" s="1"/>
  <c r="BR10" i="12" s="1"/>
  <c r="CJ11" i="12"/>
  <c r="CJ12" i="12" s="1"/>
  <c r="CJ10" i="12" s="1"/>
  <c r="CY11" i="12"/>
  <c r="CY12" i="12" s="1"/>
  <c r="CY10" i="12" s="1"/>
  <c r="DT11" i="12"/>
  <c r="DT12" i="12" s="1"/>
  <c r="DT10" i="12" s="1"/>
  <c r="EJ11" i="12"/>
  <c r="EJ12" i="12" s="1"/>
  <c r="EJ10" i="12" s="1"/>
  <c r="FF11" i="12"/>
  <c r="FF12" i="12" s="1"/>
  <c r="FF10" i="12" s="1"/>
  <c r="GA11" i="12"/>
  <c r="GA12" i="12" s="1"/>
  <c r="GA10" i="12" s="1"/>
  <c r="GS11" i="12"/>
  <c r="GS12" i="12" s="1"/>
  <c r="GS10" i="12" s="1"/>
  <c r="HO11" i="12"/>
  <c r="HO12" i="12" s="1"/>
  <c r="HO10" i="12" s="1"/>
  <c r="IG11" i="12"/>
  <c r="IG12" i="12" s="1"/>
  <c r="IG10" i="12" s="1"/>
  <c r="JE11" i="12"/>
  <c r="JE12" i="12" s="1"/>
  <c r="JE10" i="12" s="1"/>
  <c r="KE11" i="12"/>
  <c r="KE12" i="12" s="1"/>
  <c r="KE10" i="12" s="1"/>
  <c r="KX11" i="12"/>
  <c r="KX12" i="12" s="1"/>
  <c r="KX10" i="12" s="1"/>
  <c r="LV11" i="12"/>
  <c r="LV12" i="12" s="1"/>
  <c r="LV10" i="12" s="1"/>
  <c r="MN11" i="12"/>
  <c r="MN12" i="12" s="1"/>
  <c r="MN10" i="12" s="1"/>
  <c r="F11" i="12"/>
  <c r="F12" i="12" s="1"/>
  <c r="F10" i="12" s="1"/>
  <c r="T11" i="12"/>
  <c r="T12" i="12" s="1"/>
  <c r="T10" i="12" s="1"/>
  <c r="AM11" i="12"/>
  <c r="AM12" i="12" s="1"/>
  <c r="AM10" i="12" s="1"/>
  <c r="BE11" i="12"/>
  <c r="BE12" i="12" s="1"/>
  <c r="BE10" i="12" s="1"/>
  <c r="BS11" i="12"/>
  <c r="BS12" i="12" s="1"/>
  <c r="BS10" i="12" s="1"/>
  <c r="CK11" i="12"/>
  <c r="CK12" i="12" s="1"/>
  <c r="CK10" i="12" s="1"/>
  <c r="DA11" i="12"/>
  <c r="DA12" i="12" s="1"/>
  <c r="DA10" i="12" s="1"/>
  <c r="DV11" i="12"/>
  <c r="DV12" i="12" s="1"/>
  <c r="DV10" i="12" s="1"/>
  <c r="EQ11" i="12"/>
  <c r="EQ12" i="12" s="1"/>
  <c r="EQ10" i="12" s="1"/>
  <c r="FG11" i="12"/>
  <c r="FG12" i="12" s="1"/>
  <c r="FG10" i="12" s="1"/>
  <c r="GC11" i="12"/>
  <c r="GC12" i="12" s="1"/>
  <c r="GC10" i="12" s="1"/>
  <c r="GT11" i="12"/>
  <c r="GT12" i="12" s="1"/>
  <c r="GT10" i="12" s="1"/>
  <c r="HP11" i="12"/>
  <c r="HP12" i="12" s="1"/>
  <c r="HP10" i="12" s="1"/>
  <c r="IN11" i="12"/>
  <c r="IN12" i="12" s="1"/>
  <c r="IN10" i="12" s="1"/>
  <c r="JG11" i="12"/>
  <c r="JG12" i="12" s="1"/>
  <c r="JG10" i="12" s="1"/>
  <c r="KF11" i="12"/>
  <c r="KF12" i="12" s="1"/>
  <c r="KF10" i="12" s="1"/>
  <c r="KY11" i="12"/>
  <c r="KY12" i="12" s="1"/>
  <c r="KY10" i="12" s="1"/>
  <c r="LX11" i="12"/>
  <c r="LX12" i="12" s="1"/>
  <c r="LX10" i="12" s="1"/>
  <c r="MV11" i="12"/>
  <c r="MV12" i="12" s="1"/>
  <c r="MV10" i="12" s="1"/>
  <c r="NQ13" i="12" a="1"/>
  <c r="NQ13" i="12" s="1"/>
  <c r="G11" i="12"/>
  <c r="G12" i="12" s="1"/>
  <c r="G10" i="12" s="1"/>
  <c r="Y11" i="12"/>
  <c r="Y12" i="12" s="1"/>
  <c r="Y10" i="12" s="1"/>
  <c r="AN11" i="12"/>
  <c r="AN12" i="12" s="1"/>
  <c r="AN10" i="12" s="1"/>
  <c r="BF11" i="12"/>
  <c r="BF12" i="12" s="1"/>
  <c r="BF10" i="12" s="1"/>
  <c r="BT11" i="12"/>
  <c r="BT12" i="12" s="1"/>
  <c r="BT10" i="12" s="1"/>
  <c r="CL11" i="12"/>
  <c r="CL12" i="12" s="1"/>
  <c r="CL10" i="12" s="1"/>
  <c r="DF11" i="12"/>
  <c r="DF12" i="12" s="1"/>
  <c r="DF10" i="12" s="1"/>
  <c r="DW11" i="12"/>
  <c r="DW12" i="12" s="1"/>
  <c r="DW10" i="12" s="1"/>
  <c r="ER11" i="12"/>
  <c r="ER12" i="12" s="1"/>
  <c r="ER10" i="12" s="1"/>
  <c r="FH11" i="12"/>
  <c r="FH12" i="12" s="1"/>
  <c r="FH10" i="12" s="1"/>
  <c r="GD11" i="12"/>
  <c r="GD12" i="12" s="1"/>
  <c r="GD10" i="12" s="1"/>
  <c r="GY11" i="12"/>
  <c r="GY12" i="12" s="1"/>
  <c r="GY10" i="12" s="1"/>
  <c r="HS11" i="12"/>
  <c r="HS12" i="12" s="1"/>
  <c r="HS10" i="12" s="1"/>
  <c r="IQ11" i="12"/>
  <c r="IQ12" i="12" s="1"/>
  <c r="IQ10" i="12" s="1"/>
  <c r="JJ11" i="12"/>
  <c r="JJ12" i="12" s="1"/>
  <c r="JJ10" i="12" s="1"/>
  <c r="KH11" i="12"/>
  <c r="KH12" i="12" s="1"/>
  <c r="KH10" i="12" s="1"/>
  <c r="LG11" i="12"/>
  <c r="LG12" i="12" s="1"/>
  <c r="LG10" i="12" s="1"/>
  <c r="LY11" i="12"/>
  <c r="LY12" i="12" s="1"/>
  <c r="LY10" i="12" s="1"/>
  <c r="MW11" i="12"/>
  <c r="MW12" i="12" s="1"/>
  <c r="MW10" i="12" s="1"/>
  <c r="H11" i="12"/>
  <c r="H12" i="12" s="1"/>
  <c r="H10" i="12" s="1"/>
  <c r="Z11" i="12"/>
  <c r="Z12" i="12" s="1"/>
  <c r="Z10" i="12" s="1"/>
  <c r="AO11" i="12"/>
  <c r="AO12" i="12" s="1"/>
  <c r="AO10" i="12" s="1"/>
  <c r="BG11" i="12"/>
  <c r="BG12" i="12" s="1"/>
  <c r="BG10" i="12" s="1"/>
  <c r="BZ11" i="12"/>
  <c r="BZ12" i="12" s="1"/>
  <c r="BZ10" i="12" s="1"/>
  <c r="CM11" i="12"/>
  <c r="CM12" i="12" s="1"/>
  <c r="CM10" i="12" s="1"/>
  <c r="DG11" i="12"/>
  <c r="DG12" i="12" s="1"/>
  <c r="DG10" i="12" s="1"/>
  <c r="DY11" i="12"/>
  <c r="DY12" i="12" s="1"/>
  <c r="DY10" i="12" s="1"/>
  <c r="ET11" i="12"/>
  <c r="ET12" i="12" s="1"/>
  <c r="ET10" i="12" s="1"/>
  <c r="FO11" i="12"/>
  <c r="FO12" i="12" s="1"/>
  <c r="FO10" i="12" s="1"/>
  <c r="GF11" i="12"/>
  <c r="GF12" i="12" s="1"/>
  <c r="GF10" i="12" s="1"/>
  <c r="HB11" i="12"/>
  <c r="HB12" i="12" s="1"/>
  <c r="HB10" i="12" s="1"/>
  <c r="HT11" i="12"/>
  <c r="HT12" i="12" s="1"/>
  <c r="HT10" i="12" s="1"/>
  <c r="IR11" i="12"/>
  <c r="IR12" i="12" s="1"/>
  <c r="IR10" i="12" s="1"/>
  <c r="JP11" i="12"/>
  <c r="JP12" i="12" s="1"/>
  <c r="JP10" i="12" s="1"/>
  <c r="KJ11" i="12"/>
  <c r="KJ12" i="12" s="1"/>
  <c r="KJ10" i="12" s="1"/>
  <c r="LH11" i="12"/>
  <c r="LH12" i="12" s="1"/>
  <c r="LH10" i="12" s="1"/>
  <c r="MA11" i="12"/>
  <c r="MA12" i="12" s="1"/>
  <c r="MA10" i="12" s="1"/>
  <c r="MZ11" i="12"/>
  <c r="MZ12" i="12" s="1"/>
  <c r="MZ10" i="12" s="1"/>
  <c r="NI9" i="8"/>
  <c r="A9" i="8" l="1"/>
  <c r="NH9" i="8" l="1"/>
  <c r="NG9" i="8"/>
  <c r="NF9" i="8"/>
  <c r="NE9" i="8"/>
  <c r="ND9" i="8"/>
  <c r="NC9" i="8"/>
  <c r="NB9" i="8"/>
  <c r="NA9" i="8"/>
  <c r="MZ9" i="8"/>
  <c r="MY9" i="8"/>
  <c r="MX9" i="8"/>
  <c r="MW9" i="8"/>
  <c r="MV9" i="8"/>
  <c r="MU9" i="8"/>
  <c r="MT9" i="8"/>
  <c r="MS9" i="8"/>
  <c r="MR9" i="8"/>
  <c r="MQ9" i="8"/>
  <c r="MP9" i="8"/>
  <c r="MO9" i="8"/>
  <c r="MN9" i="8"/>
  <c r="MM9" i="8"/>
  <c r="ML9" i="8"/>
  <c r="MK9" i="8"/>
  <c r="MJ9" i="8"/>
  <c r="MI9" i="8"/>
  <c r="MH9" i="8"/>
  <c r="MG9" i="8"/>
  <c r="MF9" i="8"/>
  <c r="ME9" i="8"/>
  <c r="MD9" i="8"/>
  <c r="MC9" i="8"/>
  <c r="MB9" i="8"/>
  <c r="MA9" i="8"/>
  <c r="LZ9" i="8"/>
  <c r="LY9" i="8"/>
  <c r="LX9" i="8"/>
  <c r="LW9" i="8"/>
  <c r="LV9" i="8"/>
  <c r="LU9" i="8"/>
  <c r="LT9" i="8"/>
  <c r="LS9" i="8"/>
  <c r="LR9" i="8"/>
  <c r="LQ9" i="8"/>
  <c r="LP9" i="8"/>
  <c r="LO9" i="8"/>
  <c r="LN9" i="8"/>
  <c r="LM9" i="8"/>
  <c r="LL9" i="8"/>
  <c r="LK9" i="8"/>
  <c r="LJ9" i="8"/>
  <c r="LI9" i="8"/>
  <c r="LH9" i="8"/>
  <c r="LG9" i="8"/>
  <c r="LF9" i="8"/>
  <c r="LE9" i="8"/>
  <c r="LD9" i="8"/>
  <c r="LC9" i="8"/>
  <c r="LB9" i="8"/>
  <c r="LA9" i="8"/>
  <c r="KZ9" i="8"/>
  <c r="KY9" i="8"/>
  <c r="KX9" i="8"/>
  <c r="KW9" i="8"/>
  <c r="KV9" i="8"/>
  <c r="KU9" i="8"/>
  <c r="KT9" i="8"/>
  <c r="KS9" i="8"/>
  <c r="KR9" i="8"/>
  <c r="KQ9" i="8"/>
  <c r="KP9" i="8"/>
  <c r="KO9" i="8"/>
  <c r="KN9" i="8"/>
  <c r="KM9" i="8"/>
  <c r="KL9" i="8"/>
  <c r="KK9" i="8"/>
  <c r="KJ9" i="8"/>
  <c r="KI9" i="8"/>
  <c r="KH9" i="8"/>
  <c r="KG9" i="8"/>
  <c r="KF9" i="8"/>
  <c r="KE9" i="8"/>
  <c r="KD9" i="8"/>
  <c r="KC9" i="8"/>
  <c r="KB9" i="8"/>
  <c r="KA9" i="8"/>
  <c r="JZ9" i="8"/>
  <c r="JY9" i="8"/>
  <c r="JX9" i="8"/>
  <c r="JW9" i="8"/>
  <c r="JV9" i="8"/>
  <c r="JU9" i="8"/>
  <c r="JT9" i="8"/>
  <c r="JS9" i="8"/>
  <c r="JR9" i="8"/>
  <c r="JQ9" i="8"/>
  <c r="JP9" i="8"/>
  <c r="JO9" i="8"/>
  <c r="JN9" i="8"/>
  <c r="JM9" i="8"/>
  <c r="JL9" i="8"/>
  <c r="JK9" i="8"/>
  <c r="JJ9" i="8"/>
  <c r="JI9" i="8"/>
  <c r="JH9" i="8"/>
  <c r="JG9" i="8"/>
  <c r="JF9" i="8"/>
  <c r="JE9" i="8"/>
  <c r="JD9" i="8"/>
  <c r="JC9" i="8"/>
  <c r="JB9" i="8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L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J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K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C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L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ND11" i="8"/>
  <c r="ND12" i="8" s="1"/>
  <c r="ND10" i="8" s="1"/>
  <c r="B9" i="8"/>
  <c r="NT13" i="8" l="1" a="1"/>
  <c r="NT13" i="8" s="1"/>
  <c r="NN52" i="8" a="1"/>
  <c r="NN52" i="8" s="1"/>
  <c r="NN17" i="8" a="1"/>
  <c r="NN17" i="8" s="1"/>
  <c r="NN39" i="8" a="1"/>
  <c r="NN39" i="8" s="1"/>
  <c r="NN44" i="8" a="1"/>
  <c r="NN44" i="8" s="1"/>
  <c r="NN20" i="8" a="1"/>
  <c r="NN20" i="8" s="1"/>
  <c r="NN49" i="8" a="1"/>
  <c r="NN49" i="8" s="1"/>
  <c r="NN31" i="8" a="1"/>
  <c r="NN31" i="8" s="1"/>
  <c r="NN15" i="8" a="1"/>
  <c r="NN15" i="8" s="1"/>
  <c r="NN22" i="8" a="1"/>
  <c r="NN22" i="8" s="1"/>
  <c r="NN53" i="8" a="1"/>
  <c r="NN53" i="8" s="1"/>
  <c r="NN36" i="8" a="1"/>
  <c r="NN36" i="8" s="1"/>
  <c r="NN58" i="8" a="1"/>
  <c r="NN58" i="8" s="1"/>
  <c r="NN41" i="8" a="1"/>
  <c r="NN41" i="8" s="1"/>
  <c r="NN23" i="8" a="1"/>
  <c r="NN23" i="8" s="1"/>
  <c r="NN56" i="8" a="1"/>
  <c r="NN56" i="8" s="1"/>
  <c r="NN45" i="8" a="1"/>
  <c r="NN45" i="8" s="1"/>
  <c r="NN28" i="8" a="1"/>
  <c r="NN28" i="8" s="1"/>
  <c r="NN50" i="8" a="1"/>
  <c r="NN50" i="8" s="1"/>
  <c r="NN33" i="8" a="1"/>
  <c r="NN33" i="8" s="1"/>
  <c r="NN16" i="8" a="1"/>
  <c r="NN16" i="8" s="1"/>
  <c r="NN48" i="8" a="1"/>
  <c r="NN48" i="8" s="1"/>
  <c r="NN27" i="8" a="1"/>
  <c r="NN27" i="8" s="1"/>
  <c r="NN37" i="8" a="1"/>
  <c r="NN37" i="8" s="1"/>
  <c r="NN13" i="8" a="1"/>
  <c r="NN13" i="8" s="1"/>
  <c r="NN42" i="8" a="1"/>
  <c r="NN42" i="8" s="1"/>
  <c r="NN25" i="8" a="1"/>
  <c r="NN25" i="8" s="1"/>
  <c r="NN54" i="8" a="1"/>
  <c r="NN54" i="8" s="1"/>
  <c r="NN40" i="8" a="1"/>
  <c r="NN40" i="8" s="1"/>
  <c r="NN57" i="8" a="1"/>
  <c r="NN57" i="8" s="1"/>
  <c r="NN29" i="8" a="1"/>
  <c r="NN29" i="8" s="1"/>
  <c r="NN51" i="8" a="1"/>
  <c r="NN51" i="8" s="1"/>
  <c r="NN34" i="8" a="1"/>
  <c r="NN34" i="8" s="1"/>
  <c r="NN18" i="8" a="1"/>
  <c r="NN18" i="8" s="1"/>
  <c r="NN46" i="8" a="1"/>
  <c r="NN46" i="8" s="1"/>
  <c r="NN32" i="8" a="1"/>
  <c r="NN32" i="8" s="1"/>
  <c r="NO19" i="8" a="1"/>
  <c r="NO19" i="8" s="1"/>
  <c r="NO27" i="8" a="1"/>
  <c r="NO27" i="8" s="1"/>
  <c r="NO35" i="8" a="1"/>
  <c r="NO35" i="8" s="1"/>
  <c r="NO43" i="8" a="1"/>
  <c r="NO43" i="8" s="1"/>
  <c r="NO51" i="8" a="1"/>
  <c r="NO51" i="8" s="1"/>
  <c r="NO13" i="8" a="1"/>
  <c r="NO13" i="8" s="1"/>
  <c r="NO53" i="8" a="1"/>
  <c r="NO53" i="8" s="1"/>
  <c r="NO50" i="8" a="1"/>
  <c r="NO50" i="8" s="1"/>
  <c r="NO20" i="8" a="1"/>
  <c r="NO20" i="8" s="1"/>
  <c r="NO28" i="8" a="1"/>
  <c r="NO28" i="8" s="1"/>
  <c r="NO36" i="8" a="1"/>
  <c r="NO36" i="8" s="1"/>
  <c r="NO44" i="8" a="1"/>
  <c r="NO44" i="8" s="1"/>
  <c r="NO52" i="8" a="1"/>
  <c r="NO52" i="8" s="1"/>
  <c r="NO37" i="8" a="1"/>
  <c r="NO37" i="8" s="1"/>
  <c r="NO45" i="8" a="1"/>
  <c r="NO45" i="8" s="1"/>
  <c r="NO42" i="8" a="1"/>
  <c r="NO42" i="8" s="1"/>
  <c r="NO21" i="8" a="1"/>
  <c r="NO21" i="8" s="1"/>
  <c r="NO29" i="8" a="1"/>
  <c r="NO29" i="8" s="1"/>
  <c r="NO14" i="8" a="1"/>
  <c r="NO14" i="8" s="1"/>
  <c r="NO22" i="8" a="1"/>
  <c r="NO22" i="8" s="1"/>
  <c r="NO30" i="8" a="1"/>
  <c r="NO30" i="8" s="1"/>
  <c r="NO38" i="8" a="1"/>
  <c r="NO38" i="8" s="1"/>
  <c r="NO46" i="8" a="1"/>
  <c r="NO46" i="8" s="1"/>
  <c r="NO54" i="8" a="1"/>
  <c r="NO54" i="8" s="1"/>
  <c r="NO39" i="8" a="1"/>
  <c r="NO39" i="8" s="1"/>
  <c r="NO55" i="8" a="1"/>
  <c r="NO55" i="8" s="1"/>
  <c r="NO26" i="8" a="1"/>
  <c r="NO26" i="8" s="1"/>
  <c r="NO15" i="8" a="1"/>
  <c r="NO15" i="8" s="1"/>
  <c r="NO23" i="8" a="1"/>
  <c r="NO23" i="8" s="1"/>
  <c r="NO31" i="8" a="1"/>
  <c r="NO31" i="8" s="1"/>
  <c r="NO47" i="8" a="1"/>
  <c r="NO47" i="8" s="1"/>
  <c r="NO58" i="8" a="1"/>
  <c r="NO58" i="8" s="1"/>
  <c r="NO16" i="8" a="1"/>
  <c r="NO16" i="8" s="1"/>
  <c r="NO24" i="8" a="1"/>
  <c r="NO24" i="8" s="1"/>
  <c r="NO32" i="8" a="1"/>
  <c r="NO32" i="8" s="1"/>
  <c r="NO40" i="8" a="1"/>
  <c r="NO40" i="8" s="1"/>
  <c r="NO48" i="8" a="1"/>
  <c r="NO48" i="8" s="1"/>
  <c r="NO56" i="8" a="1"/>
  <c r="NO56" i="8" s="1"/>
  <c r="NO34" i="8" a="1"/>
  <c r="NO34" i="8" s="1"/>
  <c r="NO17" i="8" a="1"/>
  <c r="NO17" i="8" s="1"/>
  <c r="NO25" i="8" a="1"/>
  <c r="NO25" i="8" s="1"/>
  <c r="NO33" i="8" a="1"/>
  <c r="NO33" i="8" s="1"/>
  <c r="NO41" i="8" a="1"/>
  <c r="NO41" i="8" s="1"/>
  <c r="NO49" i="8" a="1"/>
  <c r="NO49" i="8" s="1"/>
  <c r="NO57" i="8" a="1"/>
  <c r="NO57" i="8" s="1"/>
  <c r="NO18" i="8" a="1"/>
  <c r="NO18" i="8" s="1"/>
  <c r="NN21" i="8" a="1"/>
  <c r="NN21" i="8" s="1"/>
  <c r="NN43" i="8" a="1"/>
  <c r="NN43" i="8" s="1"/>
  <c r="NN26" i="8" a="1"/>
  <c r="NN26" i="8" s="1"/>
  <c r="NN55" i="8" a="1"/>
  <c r="NN55" i="8" s="1"/>
  <c r="NN38" i="8" a="1"/>
  <c r="NN38" i="8" s="1"/>
  <c r="NN24" i="8" a="1"/>
  <c r="NN24" i="8" s="1"/>
  <c r="NN14" i="8" a="1"/>
  <c r="NN14" i="8" s="1"/>
  <c r="NN35" i="8" a="1"/>
  <c r="NN35" i="8" s="1"/>
  <c r="NN19" i="8" a="1"/>
  <c r="NN19" i="8" s="1"/>
  <c r="NN47" i="8" a="1"/>
  <c r="NN47" i="8" s="1"/>
  <c r="NN30" i="8" a="1"/>
  <c r="NN30" i="8" s="1"/>
  <c r="NS20" i="8" a="1"/>
  <c r="NS20" i="8" s="1"/>
  <c r="NS28" i="8" a="1"/>
  <c r="NS28" i="8" s="1"/>
  <c r="NS36" i="8" a="1"/>
  <c r="NS36" i="8" s="1"/>
  <c r="NS44" i="8" a="1"/>
  <c r="NS44" i="8" s="1"/>
  <c r="NS52" i="8" a="1"/>
  <c r="NS52" i="8" s="1"/>
  <c r="NS13" i="8" a="1"/>
  <c r="NS13" i="8" s="1"/>
  <c r="NR21" i="8" a="1"/>
  <c r="NR21" i="8" s="1"/>
  <c r="NR29" i="8" a="1"/>
  <c r="NR29" i="8" s="1"/>
  <c r="NR37" i="8" a="1"/>
  <c r="NR37" i="8" s="1"/>
  <c r="NR45" i="8" a="1"/>
  <c r="NR45" i="8" s="1"/>
  <c r="NR53" i="8" a="1"/>
  <c r="NR53" i="8" s="1"/>
  <c r="NQ14" i="8" a="1"/>
  <c r="NQ14" i="8" s="1"/>
  <c r="NQ22" i="8" a="1"/>
  <c r="NQ22" i="8" s="1"/>
  <c r="NQ30" i="8" a="1"/>
  <c r="NQ30" i="8" s="1"/>
  <c r="NQ38" i="8" a="1"/>
  <c r="NQ38" i="8" s="1"/>
  <c r="NQ46" i="8" a="1"/>
  <c r="NQ46" i="8" s="1"/>
  <c r="NQ54" i="8" a="1"/>
  <c r="NQ54" i="8" s="1"/>
  <c r="NS29" i="8" a="1"/>
  <c r="NS29" i="8" s="1"/>
  <c r="NS45" i="8" a="1"/>
  <c r="NS45" i="8" s="1"/>
  <c r="NR14" i="8" a="1"/>
  <c r="NR14" i="8" s="1"/>
  <c r="NR22" i="8" a="1"/>
  <c r="NR22" i="8" s="1"/>
  <c r="NR38" i="8" a="1"/>
  <c r="NR38" i="8" s="1"/>
  <c r="NR54" i="8" a="1"/>
  <c r="NR54" i="8" s="1"/>
  <c r="NQ23" i="8" a="1"/>
  <c r="NQ23" i="8" s="1"/>
  <c r="NQ39" i="8" a="1"/>
  <c r="NQ39" i="8" s="1"/>
  <c r="NQ55" i="8" a="1"/>
  <c r="NQ55" i="8" s="1"/>
  <c r="NS21" i="8" a="1"/>
  <c r="NS21" i="8" s="1"/>
  <c r="NS37" i="8" a="1"/>
  <c r="NS37" i="8" s="1"/>
  <c r="NS53" i="8" a="1"/>
  <c r="NS53" i="8" s="1"/>
  <c r="NR30" i="8" a="1"/>
  <c r="NR30" i="8" s="1"/>
  <c r="NR46" i="8" a="1"/>
  <c r="NR46" i="8" s="1"/>
  <c r="NQ15" i="8" a="1"/>
  <c r="NQ15" i="8" s="1"/>
  <c r="NQ31" i="8" a="1"/>
  <c r="NQ31" i="8" s="1"/>
  <c r="NQ47" i="8" a="1"/>
  <c r="NQ47" i="8" s="1"/>
  <c r="NS16" i="8" a="1"/>
  <c r="NS16" i="8" s="1"/>
  <c r="NS18" i="8" a="1"/>
  <c r="NS18" i="8" s="1"/>
  <c r="NS26" i="8" a="1"/>
  <c r="NS26" i="8" s="1"/>
  <c r="NS34" i="8" a="1"/>
  <c r="NS34" i="8" s="1"/>
  <c r="NS42" i="8" a="1"/>
  <c r="NS42" i="8" s="1"/>
  <c r="NS50" i="8" a="1"/>
  <c r="NS50" i="8" s="1"/>
  <c r="NS58" i="8" a="1"/>
  <c r="NS58" i="8" s="1"/>
  <c r="NR19" i="8" a="1"/>
  <c r="NR19" i="8" s="1"/>
  <c r="NR27" i="8" a="1"/>
  <c r="NR27" i="8" s="1"/>
  <c r="NR35" i="8" a="1"/>
  <c r="NR35" i="8" s="1"/>
  <c r="NR43" i="8" a="1"/>
  <c r="NR43" i="8" s="1"/>
  <c r="NR51" i="8" a="1"/>
  <c r="NR51" i="8" s="1"/>
  <c r="NQ20" i="8" a="1"/>
  <c r="NQ20" i="8" s="1"/>
  <c r="NQ28" i="8" a="1"/>
  <c r="NQ28" i="8" s="1"/>
  <c r="NQ36" i="8" a="1"/>
  <c r="NQ36" i="8" s="1"/>
  <c r="NQ44" i="8" a="1"/>
  <c r="NQ44" i="8" s="1"/>
  <c r="NQ52" i="8" a="1"/>
  <c r="NQ52" i="8" s="1"/>
  <c r="NQ13" i="8" a="1"/>
  <c r="NQ13" i="8" s="1"/>
  <c r="NS19" i="8" a="1"/>
  <c r="NS19" i="8" s="1"/>
  <c r="NS27" i="8" a="1"/>
  <c r="NS27" i="8" s="1"/>
  <c r="NS35" i="8" a="1"/>
  <c r="NS35" i="8" s="1"/>
  <c r="NS43" i="8" a="1"/>
  <c r="NS43" i="8" s="1"/>
  <c r="NS51" i="8" a="1"/>
  <c r="NS51" i="8" s="1"/>
  <c r="NR20" i="8" a="1"/>
  <c r="NR20" i="8" s="1"/>
  <c r="NR28" i="8" a="1"/>
  <c r="NR28" i="8" s="1"/>
  <c r="NR36" i="8" a="1"/>
  <c r="NR36" i="8" s="1"/>
  <c r="NR44" i="8" a="1"/>
  <c r="NR44" i="8" s="1"/>
  <c r="NR52" i="8" a="1"/>
  <c r="NR52" i="8" s="1"/>
  <c r="NS14" i="8" a="1"/>
  <c r="NS14" i="8" s="1"/>
  <c r="NS31" i="8" a="1"/>
  <c r="NS31" i="8" s="1"/>
  <c r="NS47" i="8" a="1"/>
  <c r="NS47" i="8" s="1"/>
  <c r="NR16" i="8" a="1"/>
  <c r="NR16" i="8" s="1"/>
  <c r="NR32" i="8" a="1"/>
  <c r="NR32" i="8" s="1"/>
  <c r="NR48" i="8" a="1"/>
  <c r="NR48" i="8" s="1"/>
  <c r="NQ16" i="8" a="1"/>
  <c r="NQ16" i="8" s="1"/>
  <c r="NQ27" i="8" a="1"/>
  <c r="NQ27" i="8" s="1"/>
  <c r="NQ41" i="8" a="1"/>
  <c r="NQ41" i="8" s="1"/>
  <c r="NQ53" i="8" a="1"/>
  <c r="NQ53" i="8" s="1"/>
  <c r="NS33" i="8" a="1"/>
  <c r="NS33" i="8" s="1"/>
  <c r="NR34" i="8" a="1"/>
  <c r="NR34" i="8" s="1"/>
  <c r="NQ32" i="8" a="1"/>
  <c r="NQ32" i="8" s="1"/>
  <c r="NS38" i="8" a="1"/>
  <c r="NS38" i="8" s="1"/>
  <c r="NR39" i="8" a="1"/>
  <c r="NR39" i="8" s="1"/>
  <c r="NQ33" i="8" a="1"/>
  <c r="NQ33" i="8" s="1"/>
  <c r="NS39" i="8" a="1"/>
  <c r="NS39" i="8" s="1"/>
  <c r="NR40" i="8" a="1"/>
  <c r="NR40" i="8" s="1"/>
  <c r="NQ34" i="8" a="1"/>
  <c r="NQ34" i="8" s="1"/>
  <c r="NS24" i="8" a="1"/>
  <c r="NS24" i="8" s="1"/>
  <c r="NS56" i="8" a="1"/>
  <c r="NS56" i="8" s="1"/>
  <c r="NR41" i="8" a="1"/>
  <c r="NR41" i="8" s="1"/>
  <c r="NQ24" i="8" a="1"/>
  <c r="NQ24" i="8" s="1"/>
  <c r="NQ49" i="8" a="1"/>
  <c r="NQ49" i="8" s="1"/>
  <c r="NS41" i="8" a="1"/>
  <c r="NS41" i="8" s="1"/>
  <c r="NR26" i="8" a="1"/>
  <c r="NR26" i="8" s="1"/>
  <c r="NR58" i="8" a="1"/>
  <c r="NR58" i="8" s="1"/>
  <c r="NQ37" i="8" a="1"/>
  <c r="NQ37" i="8" s="1"/>
  <c r="NQ40" i="8" a="1"/>
  <c r="NQ40" i="8" s="1"/>
  <c r="NS15" i="8" a="1"/>
  <c r="NS15" i="8" s="1"/>
  <c r="NS32" i="8" a="1"/>
  <c r="NS32" i="8" s="1"/>
  <c r="NS48" i="8" a="1"/>
  <c r="NS48" i="8" s="1"/>
  <c r="NR17" i="8" a="1"/>
  <c r="NR17" i="8" s="1"/>
  <c r="NR33" i="8" a="1"/>
  <c r="NR33" i="8" s="1"/>
  <c r="NR49" i="8" a="1"/>
  <c r="NR49" i="8" s="1"/>
  <c r="NQ17" i="8" a="1"/>
  <c r="NQ17" i="8" s="1"/>
  <c r="NQ29" i="8" a="1"/>
  <c r="NQ29" i="8" s="1"/>
  <c r="NQ42" i="8" a="1"/>
  <c r="NQ42" i="8" s="1"/>
  <c r="NQ56" i="8" a="1"/>
  <c r="NQ56" i="8" s="1"/>
  <c r="NS17" i="8" a="1"/>
  <c r="NS17" i="8" s="1"/>
  <c r="NR18" i="8" a="1"/>
  <c r="NR18" i="8" s="1"/>
  <c r="NQ18" i="8" a="1"/>
  <c r="NQ18" i="8" s="1"/>
  <c r="NQ57" i="8" a="1"/>
  <c r="NQ57" i="8" s="1"/>
  <c r="NS54" i="8" a="1"/>
  <c r="NS54" i="8" s="1"/>
  <c r="NR55" i="8" a="1"/>
  <c r="NR55" i="8" s="1"/>
  <c r="NQ45" i="8" a="1"/>
  <c r="NQ45" i="8" s="1"/>
  <c r="NS55" i="8" a="1"/>
  <c r="NS55" i="8" s="1"/>
  <c r="NR56" i="8" a="1"/>
  <c r="NR56" i="8" s="1"/>
  <c r="NQ48" i="8" a="1"/>
  <c r="NQ48" i="8" s="1"/>
  <c r="NS40" i="8" a="1"/>
  <c r="NS40" i="8" s="1"/>
  <c r="NR25" i="8" a="1"/>
  <c r="NR25" i="8" s="1"/>
  <c r="NR57" i="8" a="1"/>
  <c r="NR57" i="8" s="1"/>
  <c r="NQ35" i="8" a="1"/>
  <c r="NQ35" i="8" s="1"/>
  <c r="NS25" i="8" a="1"/>
  <c r="NS25" i="8" s="1"/>
  <c r="NS57" i="8" a="1"/>
  <c r="NS57" i="8" s="1"/>
  <c r="NR42" i="8" a="1"/>
  <c r="NR42" i="8" s="1"/>
  <c r="NQ25" i="8" a="1"/>
  <c r="NQ25" i="8" s="1"/>
  <c r="NQ50" i="8" a="1"/>
  <c r="NQ50" i="8" s="1"/>
  <c r="NS49" i="8" a="1"/>
  <c r="NS49" i="8" s="1"/>
  <c r="NR50" i="8" a="1"/>
  <c r="NR50" i="8" s="1"/>
  <c r="NQ43" i="8" a="1"/>
  <c r="NQ43" i="8" s="1"/>
  <c r="NS22" i="8" a="1"/>
  <c r="NS22" i="8" s="1"/>
  <c r="NR23" i="8" a="1"/>
  <c r="NR23" i="8" s="1"/>
  <c r="NQ19" i="8" a="1"/>
  <c r="NQ19" i="8" s="1"/>
  <c r="NQ58" i="8" a="1"/>
  <c r="NQ58" i="8" s="1"/>
  <c r="NS23" i="8" a="1"/>
  <c r="NS23" i="8" s="1"/>
  <c r="NR24" i="8" a="1"/>
  <c r="NR24" i="8" s="1"/>
  <c r="NQ21" i="8" a="1"/>
  <c r="NQ21" i="8" s="1"/>
  <c r="NS30" i="8" a="1"/>
  <c r="NS30" i="8" s="1"/>
  <c r="NS46" i="8" a="1"/>
  <c r="NS46" i="8" s="1"/>
  <c r="NR15" i="8" a="1"/>
  <c r="NR15" i="8" s="1"/>
  <c r="NR31" i="8" a="1"/>
  <c r="NR31" i="8" s="1"/>
  <c r="NR47" i="8" a="1"/>
  <c r="NR47" i="8" s="1"/>
  <c r="NR13" i="8" a="1"/>
  <c r="NR13" i="8" s="1"/>
  <c r="NQ26" i="8" a="1"/>
  <c r="NQ26" i="8" s="1"/>
  <c r="NQ51" i="8" a="1"/>
  <c r="NQ51" i="8" s="1"/>
  <c r="BF11" i="8"/>
  <c r="BF12" i="8" s="1"/>
  <c r="BF10" i="8" s="1"/>
  <c r="CL11" i="8"/>
  <c r="CL12" i="8" s="1"/>
  <c r="CL10" i="8" s="1"/>
  <c r="DR11" i="8"/>
  <c r="DR12" i="8" s="1"/>
  <c r="DR10" i="8" s="1"/>
  <c r="EX11" i="8"/>
  <c r="EX12" i="8" s="1"/>
  <c r="EX10" i="8" s="1"/>
  <c r="GD11" i="8"/>
  <c r="GD12" i="8" s="1"/>
  <c r="GD10" i="8" s="1"/>
  <c r="HJ11" i="8"/>
  <c r="HJ12" i="8" s="1"/>
  <c r="HJ10" i="8" s="1"/>
  <c r="IP11" i="8"/>
  <c r="IP12" i="8" s="1"/>
  <c r="IP10" i="8" s="1"/>
  <c r="JV11" i="8"/>
  <c r="JV12" i="8" s="1"/>
  <c r="JV10" i="8" s="1"/>
  <c r="LB11" i="8"/>
  <c r="LB12" i="8" s="1"/>
  <c r="LB10" i="8" s="1"/>
  <c r="MH11" i="8"/>
  <c r="MH12" i="8" s="1"/>
  <c r="MH10" i="8" s="1"/>
  <c r="AA11" i="8"/>
  <c r="AA12" i="8" s="1"/>
  <c r="AA10" i="8" s="1"/>
  <c r="BG11" i="8"/>
  <c r="BG12" i="8" s="1"/>
  <c r="BG10" i="8" s="1"/>
  <c r="CM11" i="8"/>
  <c r="CM12" i="8" s="1"/>
  <c r="CM10" i="8" s="1"/>
  <c r="DS11" i="8"/>
  <c r="DS12" i="8" s="1"/>
  <c r="DS10" i="8" s="1"/>
  <c r="EY11" i="8"/>
  <c r="EY12" i="8" s="1"/>
  <c r="EY10" i="8" s="1"/>
  <c r="GE11" i="8"/>
  <c r="GE12" i="8" s="1"/>
  <c r="GE10" i="8" s="1"/>
  <c r="HK11" i="8"/>
  <c r="HK12" i="8" s="1"/>
  <c r="HK10" i="8" s="1"/>
  <c r="IQ11" i="8"/>
  <c r="IQ12" i="8" s="1"/>
  <c r="IQ10" i="8" s="1"/>
  <c r="JW11" i="8"/>
  <c r="JW12" i="8" s="1"/>
  <c r="JW10" i="8" s="1"/>
  <c r="LC11" i="8"/>
  <c r="LC12" i="8" s="1"/>
  <c r="LC10" i="8" s="1"/>
  <c r="MI11" i="8"/>
  <c r="MI12" i="8" s="1"/>
  <c r="MI10" i="8" s="1"/>
  <c r="AB11" i="8"/>
  <c r="AB12" i="8" s="1"/>
  <c r="AB10" i="8" s="1"/>
  <c r="BH11" i="8"/>
  <c r="BH12" i="8" s="1"/>
  <c r="BH10" i="8" s="1"/>
  <c r="CN11" i="8"/>
  <c r="CN12" i="8" s="1"/>
  <c r="CN10" i="8" s="1"/>
  <c r="DT11" i="8"/>
  <c r="DT12" i="8" s="1"/>
  <c r="DT10" i="8" s="1"/>
  <c r="EZ11" i="8"/>
  <c r="EZ12" i="8" s="1"/>
  <c r="EZ10" i="8" s="1"/>
  <c r="GF11" i="8"/>
  <c r="GF12" i="8" s="1"/>
  <c r="GF10" i="8" s="1"/>
  <c r="HL11" i="8"/>
  <c r="HL12" i="8" s="1"/>
  <c r="HL10" i="8" s="1"/>
  <c r="IR11" i="8"/>
  <c r="IR12" i="8" s="1"/>
  <c r="IR10" i="8" s="1"/>
  <c r="JX11" i="8"/>
  <c r="JX12" i="8" s="1"/>
  <c r="JX10" i="8" s="1"/>
  <c r="LD11" i="8"/>
  <c r="LD12" i="8" s="1"/>
  <c r="LD10" i="8" s="1"/>
  <c r="MJ11" i="8"/>
  <c r="MJ12" i="8" s="1"/>
  <c r="MJ10" i="8" s="1"/>
  <c r="AG11" i="8"/>
  <c r="AG12" i="8" s="1"/>
  <c r="AG10" i="8" s="1"/>
  <c r="BM11" i="8"/>
  <c r="BM12" i="8" s="1"/>
  <c r="BM10" i="8" s="1"/>
  <c r="CS11" i="8"/>
  <c r="CS12" i="8" s="1"/>
  <c r="CS10" i="8" s="1"/>
  <c r="DY11" i="8"/>
  <c r="DY12" i="8" s="1"/>
  <c r="DY10" i="8" s="1"/>
  <c r="FE11" i="8"/>
  <c r="FE12" i="8" s="1"/>
  <c r="FE10" i="8" s="1"/>
  <c r="GK11" i="8"/>
  <c r="GK12" i="8" s="1"/>
  <c r="GK10" i="8" s="1"/>
  <c r="HQ11" i="8"/>
  <c r="HQ12" i="8" s="1"/>
  <c r="HQ10" i="8" s="1"/>
  <c r="IW11" i="8"/>
  <c r="IW12" i="8" s="1"/>
  <c r="IW10" i="8" s="1"/>
  <c r="KC11" i="8"/>
  <c r="KC12" i="8" s="1"/>
  <c r="KC10" i="8" s="1"/>
  <c r="LI11" i="8"/>
  <c r="LI12" i="8" s="1"/>
  <c r="LI10" i="8" s="1"/>
  <c r="MO11" i="8"/>
  <c r="MO12" i="8" s="1"/>
  <c r="MO10" i="8" s="1"/>
  <c r="K11" i="8"/>
  <c r="K12" i="8" s="1"/>
  <c r="K10" i="8" s="1"/>
  <c r="JG11" i="8"/>
  <c r="JG12" i="8" s="1"/>
  <c r="JG10" i="8" s="1"/>
  <c r="AR11" i="8"/>
  <c r="AR12" i="8" s="1"/>
  <c r="AR10" i="8" s="1"/>
  <c r="BX11" i="8"/>
  <c r="BX12" i="8" s="1"/>
  <c r="BX10" i="8" s="1"/>
  <c r="DD11" i="8"/>
  <c r="DD12" i="8" s="1"/>
  <c r="DD10" i="8" s="1"/>
  <c r="EJ11" i="8"/>
  <c r="EJ12" i="8" s="1"/>
  <c r="EJ10" i="8" s="1"/>
  <c r="FP11" i="8"/>
  <c r="FP12" i="8" s="1"/>
  <c r="FP10" i="8" s="1"/>
  <c r="GV11" i="8"/>
  <c r="GV12" i="8" s="1"/>
  <c r="GV10" i="8" s="1"/>
  <c r="IB11" i="8"/>
  <c r="IB12" i="8" s="1"/>
  <c r="IB10" i="8" s="1"/>
  <c r="JH11" i="8"/>
  <c r="JH12" i="8" s="1"/>
  <c r="JH10" i="8" s="1"/>
  <c r="KN11" i="8"/>
  <c r="KN12" i="8" s="1"/>
  <c r="KN10" i="8" s="1"/>
  <c r="LT11" i="8"/>
  <c r="LT12" i="8" s="1"/>
  <c r="LT10" i="8" s="1"/>
  <c r="MZ11" i="8"/>
  <c r="MZ12" i="8" s="1"/>
  <c r="MZ10" i="8" s="1"/>
  <c r="Z11" i="8"/>
  <c r="Z12" i="8" s="1"/>
  <c r="Z10" i="8" s="1"/>
  <c r="J11" i="8"/>
  <c r="J12" i="8" s="1"/>
  <c r="J10" i="8" s="1"/>
  <c r="AP11" i="8"/>
  <c r="AP12" i="8" s="1"/>
  <c r="AP10" i="8" s="1"/>
  <c r="BV11" i="8"/>
  <c r="BV12" i="8" s="1"/>
  <c r="BV10" i="8" s="1"/>
  <c r="DB11" i="8"/>
  <c r="DB12" i="8" s="1"/>
  <c r="DB10" i="8" s="1"/>
  <c r="EH11" i="8"/>
  <c r="EH12" i="8" s="1"/>
  <c r="EH10" i="8" s="1"/>
  <c r="FN11" i="8"/>
  <c r="FN12" i="8" s="1"/>
  <c r="FN10" i="8" s="1"/>
  <c r="GT11" i="8"/>
  <c r="GT12" i="8" s="1"/>
  <c r="GT10" i="8" s="1"/>
  <c r="HZ11" i="8"/>
  <c r="HZ12" i="8" s="1"/>
  <c r="HZ10" i="8" s="1"/>
  <c r="JF11" i="8"/>
  <c r="JF12" i="8" s="1"/>
  <c r="JF10" i="8" s="1"/>
  <c r="KL11" i="8"/>
  <c r="KL12" i="8" s="1"/>
  <c r="KL10" i="8" s="1"/>
  <c r="LR11" i="8"/>
  <c r="LR12" i="8" s="1"/>
  <c r="LR10" i="8" s="1"/>
  <c r="MX11" i="8"/>
  <c r="MX12" i="8" s="1"/>
  <c r="MX10" i="8" s="1"/>
  <c r="AQ11" i="8"/>
  <c r="AQ12" i="8" s="1"/>
  <c r="AQ10" i="8" s="1"/>
  <c r="BW11" i="8"/>
  <c r="BW12" i="8" s="1"/>
  <c r="BW10" i="8" s="1"/>
  <c r="DC11" i="8"/>
  <c r="DC12" i="8" s="1"/>
  <c r="DC10" i="8" s="1"/>
  <c r="EI11" i="8"/>
  <c r="EI12" i="8" s="1"/>
  <c r="EI10" i="8" s="1"/>
  <c r="FO11" i="8"/>
  <c r="FO12" i="8" s="1"/>
  <c r="FO10" i="8" s="1"/>
  <c r="GU11" i="8"/>
  <c r="GU12" i="8" s="1"/>
  <c r="GU10" i="8" s="1"/>
  <c r="IA11" i="8"/>
  <c r="IA12" i="8" s="1"/>
  <c r="IA10" i="8" s="1"/>
  <c r="KM11" i="8"/>
  <c r="KM12" i="8" s="1"/>
  <c r="KM10" i="8" s="1"/>
  <c r="LS11" i="8"/>
  <c r="LS12" i="8" s="1"/>
  <c r="LS10" i="8" s="1"/>
  <c r="MY11" i="8"/>
  <c r="MY12" i="8" s="1"/>
  <c r="MY10" i="8" s="1"/>
  <c r="L11" i="8"/>
  <c r="L12" i="8" s="1"/>
  <c r="L10" i="8" s="1"/>
  <c r="Q11" i="8"/>
  <c r="Q12" i="8" s="1"/>
  <c r="Q10" i="8" s="1"/>
  <c r="AW11" i="8"/>
  <c r="AW12" i="8" s="1"/>
  <c r="AW10" i="8" s="1"/>
  <c r="CC11" i="8"/>
  <c r="CC12" i="8" s="1"/>
  <c r="CC10" i="8" s="1"/>
  <c r="DI11" i="8"/>
  <c r="DI12" i="8" s="1"/>
  <c r="DI10" i="8" s="1"/>
  <c r="EO11" i="8"/>
  <c r="EO12" i="8" s="1"/>
  <c r="EO10" i="8" s="1"/>
  <c r="FU11" i="8"/>
  <c r="FU12" i="8" s="1"/>
  <c r="FU10" i="8" s="1"/>
  <c r="HA11" i="8"/>
  <c r="HA12" i="8" s="1"/>
  <c r="HA10" i="8" s="1"/>
  <c r="IG11" i="8"/>
  <c r="IG12" i="8" s="1"/>
  <c r="IG10" i="8" s="1"/>
  <c r="JM11" i="8"/>
  <c r="JM12" i="8" s="1"/>
  <c r="JM10" i="8" s="1"/>
  <c r="KS11" i="8"/>
  <c r="KS12" i="8" s="1"/>
  <c r="KS10" i="8" s="1"/>
  <c r="LY11" i="8"/>
  <c r="LY12" i="8" s="1"/>
  <c r="LY10" i="8" s="1"/>
  <c r="NE11" i="8"/>
  <c r="NE12" i="8" s="1"/>
  <c r="NE10" i="8" s="1"/>
  <c r="C11" i="8"/>
  <c r="C12" i="8" s="1"/>
  <c r="C10" i="8" s="1"/>
  <c r="S11" i="8"/>
  <c r="S12" i="8" s="1"/>
  <c r="S10" i="8" s="1"/>
  <c r="AI11" i="8"/>
  <c r="AI12" i="8" s="1"/>
  <c r="AI10" i="8" s="1"/>
  <c r="AY11" i="8"/>
  <c r="AY12" i="8" s="1"/>
  <c r="AY10" i="8" s="1"/>
  <c r="BO11" i="8"/>
  <c r="BO12" i="8" s="1"/>
  <c r="BO10" i="8" s="1"/>
  <c r="CE11" i="8"/>
  <c r="CE12" i="8" s="1"/>
  <c r="CE10" i="8" s="1"/>
  <c r="CU11" i="8"/>
  <c r="CU12" i="8" s="1"/>
  <c r="CU10" i="8" s="1"/>
  <c r="DK11" i="8"/>
  <c r="DK12" i="8" s="1"/>
  <c r="DK10" i="8" s="1"/>
  <c r="EA11" i="8"/>
  <c r="EA12" i="8" s="1"/>
  <c r="EA10" i="8" s="1"/>
  <c r="EQ11" i="8"/>
  <c r="EQ12" i="8" s="1"/>
  <c r="EQ10" i="8" s="1"/>
  <c r="FG11" i="8"/>
  <c r="FG12" i="8" s="1"/>
  <c r="FG10" i="8" s="1"/>
  <c r="FW11" i="8"/>
  <c r="FW12" i="8" s="1"/>
  <c r="FW10" i="8" s="1"/>
  <c r="GM11" i="8"/>
  <c r="GM12" i="8" s="1"/>
  <c r="GM10" i="8" s="1"/>
  <c r="HC11" i="8"/>
  <c r="HC12" i="8" s="1"/>
  <c r="HC10" i="8" s="1"/>
  <c r="HS11" i="8"/>
  <c r="HS12" i="8" s="1"/>
  <c r="HS10" i="8" s="1"/>
  <c r="II11" i="8"/>
  <c r="II12" i="8" s="1"/>
  <c r="II10" i="8" s="1"/>
  <c r="IY11" i="8"/>
  <c r="IY12" i="8" s="1"/>
  <c r="IY10" i="8" s="1"/>
  <c r="JO11" i="8"/>
  <c r="JO12" i="8" s="1"/>
  <c r="JO10" i="8" s="1"/>
  <c r="KE11" i="8"/>
  <c r="KE12" i="8" s="1"/>
  <c r="KE10" i="8" s="1"/>
  <c r="KU11" i="8"/>
  <c r="KU12" i="8" s="1"/>
  <c r="KU10" i="8" s="1"/>
  <c r="LK11" i="8"/>
  <c r="LK12" i="8" s="1"/>
  <c r="LK10" i="8" s="1"/>
  <c r="MA11" i="8"/>
  <c r="MA12" i="8" s="1"/>
  <c r="MA10" i="8" s="1"/>
  <c r="MQ11" i="8"/>
  <c r="MQ12" i="8" s="1"/>
  <c r="MQ10" i="8" s="1"/>
  <c r="NG11" i="8"/>
  <c r="NG12" i="8" s="1"/>
  <c r="NG10" i="8" s="1"/>
  <c r="R11" i="8"/>
  <c r="R12" i="8" s="1"/>
  <c r="R10" i="8" s="1"/>
  <c r="AX11" i="8"/>
  <c r="AX12" i="8" s="1"/>
  <c r="AX10" i="8" s="1"/>
  <c r="CD11" i="8"/>
  <c r="CD12" i="8" s="1"/>
  <c r="CD10" i="8" s="1"/>
  <c r="DJ11" i="8"/>
  <c r="DJ12" i="8" s="1"/>
  <c r="DJ10" i="8" s="1"/>
  <c r="DZ11" i="8"/>
  <c r="DZ12" i="8" s="1"/>
  <c r="DZ10" i="8" s="1"/>
  <c r="FF11" i="8"/>
  <c r="FF12" i="8" s="1"/>
  <c r="FF10" i="8" s="1"/>
  <c r="FV11" i="8"/>
  <c r="FV12" i="8" s="1"/>
  <c r="FV10" i="8" s="1"/>
  <c r="GL11" i="8"/>
  <c r="GL12" i="8" s="1"/>
  <c r="GL10" i="8" s="1"/>
  <c r="HB11" i="8"/>
  <c r="HB12" i="8" s="1"/>
  <c r="HB10" i="8" s="1"/>
  <c r="HR11" i="8"/>
  <c r="HR12" i="8" s="1"/>
  <c r="HR10" i="8" s="1"/>
  <c r="IH11" i="8"/>
  <c r="IH12" i="8" s="1"/>
  <c r="IH10" i="8" s="1"/>
  <c r="IX11" i="8"/>
  <c r="IX12" i="8" s="1"/>
  <c r="IX10" i="8" s="1"/>
  <c r="JN11" i="8"/>
  <c r="JN12" i="8" s="1"/>
  <c r="JN10" i="8" s="1"/>
  <c r="KT11" i="8"/>
  <c r="KT12" i="8" s="1"/>
  <c r="KT10" i="8" s="1"/>
  <c r="LJ11" i="8"/>
  <c r="LJ12" i="8" s="1"/>
  <c r="LJ10" i="8" s="1"/>
  <c r="LZ11" i="8"/>
  <c r="LZ12" i="8" s="1"/>
  <c r="LZ10" i="8" s="1"/>
  <c r="MP11" i="8"/>
  <c r="MP12" i="8" s="1"/>
  <c r="MP10" i="8" s="1"/>
  <c r="NF11" i="8"/>
  <c r="NF12" i="8" s="1"/>
  <c r="NF10" i="8" s="1"/>
  <c r="D11" i="8"/>
  <c r="D12" i="8" s="1"/>
  <c r="D10" i="8" s="1"/>
  <c r="T11" i="8"/>
  <c r="T12" i="8" s="1"/>
  <c r="T10" i="8" s="1"/>
  <c r="AJ11" i="8"/>
  <c r="AJ12" i="8" s="1"/>
  <c r="AJ10" i="8" s="1"/>
  <c r="AZ11" i="8"/>
  <c r="AZ12" i="8" s="1"/>
  <c r="AZ10" i="8" s="1"/>
  <c r="BP11" i="8"/>
  <c r="BP12" i="8" s="1"/>
  <c r="BP10" i="8" s="1"/>
  <c r="CF11" i="8"/>
  <c r="CF12" i="8" s="1"/>
  <c r="CF10" i="8" s="1"/>
  <c r="CV11" i="8"/>
  <c r="CV12" i="8" s="1"/>
  <c r="CV10" i="8" s="1"/>
  <c r="DL11" i="8"/>
  <c r="DL12" i="8" s="1"/>
  <c r="DL10" i="8" s="1"/>
  <c r="EB11" i="8"/>
  <c r="EB12" i="8" s="1"/>
  <c r="EB10" i="8" s="1"/>
  <c r="ER11" i="8"/>
  <c r="ER12" i="8" s="1"/>
  <c r="ER10" i="8" s="1"/>
  <c r="FH11" i="8"/>
  <c r="FH12" i="8" s="1"/>
  <c r="FH10" i="8" s="1"/>
  <c r="FX11" i="8"/>
  <c r="FX12" i="8" s="1"/>
  <c r="FX10" i="8" s="1"/>
  <c r="GN11" i="8"/>
  <c r="GN12" i="8" s="1"/>
  <c r="GN10" i="8" s="1"/>
  <c r="HD11" i="8"/>
  <c r="HD12" i="8" s="1"/>
  <c r="HD10" i="8" s="1"/>
  <c r="HT11" i="8"/>
  <c r="HT12" i="8" s="1"/>
  <c r="HT10" i="8" s="1"/>
  <c r="IJ11" i="8"/>
  <c r="IJ12" i="8" s="1"/>
  <c r="IJ10" i="8" s="1"/>
  <c r="IZ11" i="8"/>
  <c r="IZ12" i="8" s="1"/>
  <c r="IZ10" i="8" s="1"/>
  <c r="JP11" i="8"/>
  <c r="JP12" i="8" s="1"/>
  <c r="JP10" i="8" s="1"/>
  <c r="KF11" i="8"/>
  <c r="KF12" i="8" s="1"/>
  <c r="KF10" i="8" s="1"/>
  <c r="KV11" i="8"/>
  <c r="KV12" i="8" s="1"/>
  <c r="KV10" i="8" s="1"/>
  <c r="LL11" i="8"/>
  <c r="LL12" i="8" s="1"/>
  <c r="LL10" i="8" s="1"/>
  <c r="MB11" i="8"/>
  <c r="MB12" i="8" s="1"/>
  <c r="MB10" i="8" s="1"/>
  <c r="MR11" i="8"/>
  <c r="MR12" i="8" s="1"/>
  <c r="MR10" i="8" s="1"/>
  <c r="NH11" i="8"/>
  <c r="NH12" i="8" s="1"/>
  <c r="NH10" i="8" s="1"/>
  <c r="AH11" i="8"/>
  <c r="AH12" i="8" s="1"/>
  <c r="AH10" i="8" s="1"/>
  <c r="BN11" i="8"/>
  <c r="BN12" i="8" s="1"/>
  <c r="BN10" i="8" s="1"/>
  <c r="CT11" i="8"/>
  <c r="CT12" i="8" s="1"/>
  <c r="CT10" i="8" s="1"/>
  <c r="EP11" i="8"/>
  <c r="EP12" i="8" s="1"/>
  <c r="EP10" i="8" s="1"/>
  <c r="KD11" i="8"/>
  <c r="KD12" i="8" s="1"/>
  <c r="KD10" i="8" s="1"/>
  <c r="I11" i="8"/>
  <c r="I12" i="8" s="1"/>
  <c r="I10" i="8" s="1"/>
  <c r="Y11" i="8"/>
  <c r="Y12" i="8" s="1"/>
  <c r="Y10" i="8" s="1"/>
  <c r="AO11" i="8"/>
  <c r="AO12" i="8" s="1"/>
  <c r="AO10" i="8" s="1"/>
  <c r="BE11" i="8"/>
  <c r="BE12" i="8" s="1"/>
  <c r="BE10" i="8" s="1"/>
  <c r="BU11" i="8"/>
  <c r="BU12" i="8" s="1"/>
  <c r="BU10" i="8" s="1"/>
  <c r="CK11" i="8"/>
  <c r="CK12" i="8" s="1"/>
  <c r="CK10" i="8" s="1"/>
  <c r="DA11" i="8"/>
  <c r="DA12" i="8" s="1"/>
  <c r="DA10" i="8" s="1"/>
  <c r="DQ11" i="8"/>
  <c r="DQ12" i="8" s="1"/>
  <c r="DQ10" i="8" s="1"/>
  <c r="EG11" i="8"/>
  <c r="EG12" i="8" s="1"/>
  <c r="EG10" i="8" s="1"/>
  <c r="EW11" i="8"/>
  <c r="EW12" i="8" s="1"/>
  <c r="EW10" i="8" s="1"/>
  <c r="FM11" i="8"/>
  <c r="FM12" i="8" s="1"/>
  <c r="FM10" i="8" s="1"/>
  <c r="GC11" i="8"/>
  <c r="GC12" i="8" s="1"/>
  <c r="GC10" i="8" s="1"/>
  <c r="GS11" i="8"/>
  <c r="GS12" i="8" s="1"/>
  <c r="GS10" i="8" s="1"/>
  <c r="HI11" i="8"/>
  <c r="HI12" i="8" s="1"/>
  <c r="HI10" i="8" s="1"/>
  <c r="HY11" i="8"/>
  <c r="HY12" i="8" s="1"/>
  <c r="HY10" i="8" s="1"/>
  <c r="IO11" i="8"/>
  <c r="IO12" i="8" s="1"/>
  <c r="IO10" i="8" s="1"/>
  <c r="JE11" i="8"/>
  <c r="JE12" i="8" s="1"/>
  <c r="JE10" i="8" s="1"/>
  <c r="JU11" i="8"/>
  <c r="JU12" i="8" s="1"/>
  <c r="JU10" i="8" s="1"/>
  <c r="KK11" i="8"/>
  <c r="KK12" i="8" s="1"/>
  <c r="KK10" i="8" s="1"/>
  <c r="LA11" i="8"/>
  <c r="LA12" i="8" s="1"/>
  <c r="LA10" i="8" s="1"/>
  <c r="LQ11" i="8"/>
  <c r="LQ12" i="8" s="1"/>
  <c r="LQ10" i="8" s="1"/>
  <c r="MG11" i="8"/>
  <c r="MG12" i="8" s="1"/>
  <c r="MG10" i="8" s="1"/>
  <c r="MW11" i="8"/>
  <c r="MW12" i="8" s="1"/>
  <c r="MW10" i="8" s="1"/>
  <c r="E11" i="8"/>
  <c r="E12" i="8" s="1"/>
  <c r="E10" i="8" s="1"/>
  <c r="M11" i="8"/>
  <c r="M12" i="8" s="1"/>
  <c r="M10" i="8" s="1"/>
  <c r="U11" i="8"/>
  <c r="U12" i="8" s="1"/>
  <c r="U10" i="8" s="1"/>
  <c r="AC11" i="8"/>
  <c r="AC12" i="8" s="1"/>
  <c r="AC10" i="8" s="1"/>
  <c r="AK11" i="8"/>
  <c r="AK12" i="8" s="1"/>
  <c r="AK10" i="8" s="1"/>
  <c r="AS11" i="8"/>
  <c r="AS12" i="8" s="1"/>
  <c r="AS10" i="8" s="1"/>
  <c r="BA11" i="8"/>
  <c r="BA12" i="8" s="1"/>
  <c r="BA10" i="8" s="1"/>
  <c r="BI11" i="8"/>
  <c r="BI12" i="8" s="1"/>
  <c r="BI10" i="8" s="1"/>
  <c r="BQ11" i="8"/>
  <c r="BQ12" i="8" s="1"/>
  <c r="BQ10" i="8" s="1"/>
  <c r="BY11" i="8"/>
  <c r="BY12" i="8" s="1"/>
  <c r="BY10" i="8" s="1"/>
  <c r="CG11" i="8"/>
  <c r="CG12" i="8" s="1"/>
  <c r="CG10" i="8" s="1"/>
  <c r="CO11" i="8"/>
  <c r="CO12" i="8" s="1"/>
  <c r="CO10" i="8" s="1"/>
  <c r="CW11" i="8"/>
  <c r="CW12" i="8" s="1"/>
  <c r="CW10" i="8" s="1"/>
  <c r="DE11" i="8"/>
  <c r="DE12" i="8" s="1"/>
  <c r="DE10" i="8" s="1"/>
  <c r="DM11" i="8"/>
  <c r="DM12" i="8" s="1"/>
  <c r="DM10" i="8" s="1"/>
  <c r="DU11" i="8"/>
  <c r="DU12" i="8" s="1"/>
  <c r="DU10" i="8" s="1"/>
  <c r="EC11" i="8"/>
  <c r="EC12" i="8" s="1"/>
  <c r="EC10" i="8" s="1"/>
  <c r="EK11" i="8"/>
  <c r="EK12" i="8" s="1"/>
  <c r="EK10" i="8" s="1"/>
  <c r="ES11" i="8"/>
  <c r="ES12" i="8" s="1"/>
  <c r="ES10" i="8" s="1"/>
  <c r="FA11" i="8"/>
  <c r="FA12" i="8" s="1"/>
  <c r="FA10" i="8" s="1"/>
  <c r="FI11" i="8"/>
  <c r="FI12" i="8" s="1"/>
  <c r="FI10" i="8" s="1"/>
  <c r="FQ11" i="8"/>
  <c r="FQ12" i="8" s="1"/>
  <c r="FQ10" i="8" s="1"/>
  <c r="FY11" i="8"/>
  <c r="FY12" i="8" s="1"/>
  <c r="FY10" i="8" s="1"/>
  <c r="GG11" i="8"/>
  <c r="GG12" i="8" s="1"/>
  <c r="GG10" i="8" s="1"/>
  <c r="GO11" i="8"/>
  <c r="GO12" i="8" s="1"/>
  <c r="GO10" i="8" s="1"/>
  <c r="GW11" i="8"/>
  <c r="GW12" i="8" s="1"/>
  <c r="GW10" i="8" s="1"/>
  <c r="HE11" i="8"/>
  <c r="HE12" i="8" s="1"/>
  <c r="HE10" i="8" s="1"/>
  <c r="HM11" i="8"/>
  <c r="HM12" i="8" s="1"/>
  <c r="HM10" i="8" s="1"/>
  <c r="HU11" i="8"/>
  <c r="HU12" i="8" s="1"/>
  <c r="HU10" i="8" s="1"/>
  <c r="IC11" i="8"/>
  <c r="IC12" i="8" s="1"/>
  <c r="IC10" i="8" s="1"/>
  <c r="IK11" i="8"/>
  <c r="IK12" i="8" s="1"/>
  <c r="IK10" i="8" s="1"/>
  <c r="IS11" i="8"/>
  <c r="IS12" i="8" s="1"/>
  <c r="IS10" i="8" s="1"/>
  <c r="JA11" i="8"/>
  <c r="JA12" i="8" s="1"/>
  <c r="JA10" i="8" s="1"/>
  <c r="JI11" i="8"/>
  <c r="JI12" i="8" s="1"/>
  <c r="JI10" i="8" s="1"/>
  <c r="JQ11" i="8"/>
  <c r="JQ12" i="8" s="1"/>
  <c r="JQ10" i="8" s="1"/>
  <c r="JY11" i="8"/>
  <c r="JY12" i="8" s="1"/>
  <c r="JY10" i="8" s="1"/>
  <c r="KG11" i="8"/>
  <c r="KG12" i="8" s="1"/>
  <c r="KG10" i="8" s="1"/>
  <c r="KO11" i="8"/>
  <c r="KO12" i="8" s="1"/>
  <c r="KO10" i="8" s="1"/>
  <c r="KW11" i="8"/>
  <c r="KW12" i="8" s="1"/>
  <c r="KW10" i="8" s="1"/>
  <c r="LE11" i="8"/>
  <c r="LE12" i="8" s="1"/>
  <c r="LE10" i="8" s="1"/>
  <c r="LM11" i="8"/>
  <c r="LM12" i="8" s="1"/>
  <c r="LM10" i="8" s="1"/>
  <c r="LU11" i="8"/>
  <c r="LU12" i="8" s="1"/>
  <c r="LU10" i="8" s="1"/>
  <c r="MC11" i="8"/>
  <c r="MC12" i="8" s="1"/>
  <c r="MC10" i="8" s="1"/>
  <c r="MK11" i="8"/>
  <c r="MK12" i="8" s="1"/>
  <c r="MK10" i="8" s="1"/>
  <c r="MS11" i="8"/>
  <c r="MS12" i="8" s="1"/>
  <c r="MS10" i="8" s="1"/>
  <c r="NA11" i="8"/>
  <c r="NA12" i="8" s="1"/>
  <c r="NA10" i="8" s="1"/>
  <c r="NI11" i="8"/>
  <c r="NI12" i="8" s="1"/>
  <c r="NI10" i="8" s="1"/>
  <c r="F11" i="8"/>
  <c r="F12" i="8" s="1"/>
  <c r="F10" i="8" s="1"/>
  <c r="N11" i="8"/>
  <c r="N12" i="8" s="1"/>
  <c r="N10" i="8" s="1"/>
  <c r="V11" i="8"/>
  <c r="V12" i="8" s="1"/>
  <c r="V10" i="8" s="1"/>
  <c r="AD11" i="8"/>
  <c r="AD12" i="8" s="1"/>
  <c r="AD10" i="8" s="1"/>
  <c r="AL11" i="8"/>
  <c r="AL12" i="8" s="1"/>
  <c r="AL10" i="8" s="1"/>
  <c r="AT11" i="8"/>
  <c r="AT12" i="8" s="1"/>
  <c r="AT10" i="8" s="1"/>
  <c r="BB11" i="8"/>
  <c r="BB12" i="8" s="1"/>
  <c r="BB10" i="8" s="1"/>
  <c r="BJ11" i="8"/>
  <c r="BJ12" i="8" s="1"/>
  <c r="BJ10" i="8" s="1"/>
  <c r="BR11" i="8"/>
  <c r="BR12" i="8" s="1"/>
  <c r="BR10" i="8" s="1"/>
  <c r="BZ11" i="8"/>
  <c r="BZ12" i="8" s="1"/>
  <c r="BZ10" i="8" s="1"/>
  <c r="CH11" i="8"/>
  <c r="CH12" i="8" s="1"/>
  <c r="CH10" i="8" s="1"/>
  <c r="CP11" i="8"/>
  <c r="CP12" i="8" s="1"/>
  <c r="CP10" i="8" s="1"/>
  <c r="CX11" i="8"/>
  <c r="CX12" i="8" s="1"/>
  <c r="CX10" i="8" s="1"/>
  <c r="DF11" i="8"/>
  <c r="DF12" i="8" s="1"/>
  <c r="DF10" i="8" s="1"/>
  <c r="DN11" i="8"/>
  <c r="DN12" i="8" s="1"/>
  <c r="DN10" i="8" s="1"/>
  <c r="DV11" i="8"/>
  <c r="DV12" i="8" s="1"/>
  <c r="DV10" i="8" s="1"/>
  <c r="ED11" i="8"/>
  <c r="ED12" i="8" s="1"/>
  <c r="ED10" i="8" s="1"/>
  <c r="EL11" i="8"/>
  <c r="EL12" i="8" s="1"/>
  <c r="EL10" i="8" s="1"/>
  <c r="ET11" i="8"/>
  <c r="ET12" i="8" s="1"/>
  <c r="ET10" i="8" s="1"/>
  <c r="FB11" i="8"/>
  <c r="FB12" i="8" s="1"/>
  <c r="FB10" i="8" s="1"/>
  <c r="FJ11" i="8"/>
  <c r="FJ12" i="8" s="1"/>
  <c r="FJ10" i="8" s="1"/>
  <c r="FR11" i="8"/>
  <c r="FR12" i="8" s="1"/>
  <c r="FR10" i="8" s="1"/>
  <c r="FZ11" i="8"/>
  <c r="FZ12" i="8" s="1"/>
  <c r="FZ10" i="8" s="1"/>
  <c r="GH11" i="8"/>
  <c r="GH12" i="8" s="1"/>
  <c r="GH10" i="8" s="1"/>
  <c r="GP11" i="8"/>
  <c r="GP12" i="8" s="1"/>
  <c r="GP10" i="8" s="1"/>
  <c r="GX11" i="8"/>
  <c r="GX12" i="8" s="1"/>
  <c r="GX10" i="8" s="1"/>
  <c r="HF11" i="8"/>
  <c r="HF12" i="8" s="1"/>
  <c r="HF10" i="8" s="1"/>
  <c r="HN11" i="8"/>
  <c r="HN12" i="8" s="1"/>
  <c r="HN10" i="8" s="1"/>
  <c r="HV11" i="8"/>
  <c r="HV12" i="8" s="1"/>
  <c r="HV10" i="8" s="1"/>
  <c r="ID11" i="8"/>
  <c r="ID12" i="8" s="1"/>
  <c r="ID10" i="8" s="1"/>
  <c r="IL11" i="8"/>
  <c r="IL12" i="8" s="1"/>
  <c r="IL10" i="8" s="1"/>
  <c r="IT11" i="8"/>
  <c r="IT12" i="8" s="1"/>
  <c r="IT10" i="8" s="1"/>
  <c r="JB11" i="8"/>
  <c r="JB12" i="8" s="1"/>
  <c r="JB10" i="8" s="1"/>
  <c r="JJ11" i="8"/>
  <c r="JJ12" i="8" s="1"/>
  <c r="JJ10" i="8" s="1"/>
  <c r="JR11" i="8"/>
  <c r="JR12" i="8" s="1"/>
  <c r="JR10" i="8" s="1"/>
  <c r="JZ11" i="8"/>
  <c r="JZ12" i="8" s="1"/>
  <c r="JZ10" i="8" s="1"/>
  <c r="KH11" i="8"/>
  <c r="KH12" i="8" s="1"/>
  <c r="KH10" i="8" s="1"/>
  <c r="KP11" i="8"/>
  <c r="KP12" i="8" s="1"/>
  <c r="KP10" i="8" s="1"/>
  <c r="KX11" i="8"/>
  <c r="KX12" i="8" s="1"/>
  <c r="KX10" i="8" s="1"/>
  <c r="LF11" i="8"/>
  <c r="LF12" i="8" s="1"/>
  <c r="LF10" i="8" s="1"/>
  <c r="LN11" i="8"/>
  <c r="LN12" i="8" s="1"/>
  <c r="LN10" i="8" s="1"/>
  <c r="LV11" i="8"/>
  <c r="LV12" i="8" s="1"/>
  <c r="LV10" i="8" s="1"/>
  <c r="MD11" i="8"/>
  <c r="MD12" i="8" s="1"/>
  <c r="MD10" i="8" s="1"/>
  <c r="ML11" i="8"/>
  <c r="ML12" i="8" s="1"/>
  <c r="ML10" i="8" s="1"/>
  <c r="MT11" i="8"/>
  <c r="MT12" i="8" s="1"/>
  <c r="MT10" i="8" s="1"/>
  <c r="NB11" i="8"/>
  <c r="NB12" i="8" s="1"/>
  <c r="NB10" i="8" s="1"/>
  <c r="G11" i="8"/>
  <c r="G12" i="8" s="1"/>
  <c r="G10" i="8" s="1"/>
  <c r="O11" i="8"/>
  <c r="O12" i="8" s="1"/>
  <c r="O10" i="8" s="1"/>
  <c r="W11" i="8"/>
  <c r="W12" i="8" s="1"/>
  <c r="W10" i="8" s="1"/>
  <c r="AE11" i="8"/>
  <c r="AE12" i="8" s="1"/>
  <c r="AE10" i="8" s="1"/>
  <c r="AM11" i="8"/>
  <c r="AM12" i="8" s="1"/>
  <c r="AM10" i="8" s="1"/>
  <c r="AU11" i="8"/>
  <c r="AU12" i="8" s="1"/>
  <c r="AU10" i="8" s="1"/>
  <c r="BC11" i="8"/>
  <c r="BC12" i="8" s="1"/>
  <c r="BC10" i="8" s="1"/>
  <c r="BK11" i="8"/>
  <c r="BK12" i="8" s="1"/>
  <c r="BK10" i="8" s="1"/>
  <c r="BS11" i="8"/>
  <c r="BS12" i="8" s="1"/>
  <c r="BS10" i="8" s="1"/>
  <c r="CA11" i="8"/>
  <c r="CA12" i="8" s="1"/>
  <c r="CA10" i="8" s="1"/>
  <c r="CI11" i="8"/>
  <c r="CI12" i="8" s="1"/>
  <c r="CI10" i="8" s="1"/>
  <c r="CQ11" i="8"/>
  <c r="CQ12" i="8" s="1"/>
  <c r="CQ10" i="8" s="1"/>
  <c r="CY11" i="8"/>
  <c r="CY12" i="8" s="1"/>
  <c r="CY10" i="8" s="1"/>
  <c r="DG11" i="8"/>
  <c r="DG12" i="8" s="1"/>
  <c r="DG10" i="8" s="1"/>
  <c r="DO11" i="8"/>
  <c r="DO12" i="8" s="1"/>
  <c r="DO10" i="8" s="1"/>
  <c r="DW11" i="8"/>
  <c r="DW12" i="8" s="1"/>
  <c r="DW10" i="8" s="1"/>
  <c r="EE11" i="8"/>
  <c r="EE12" i="8" s="1"/>
  <c r="EE10" i="8" s="1"/>
  <c r="EM11" i="8"/>
  <c r="EM12" i="8" s="1"/>
  <c r="EM10" i="8" s="1"/>
  <c r="EU11" i="8"/>
  <c r="EU12" i="8" s="1"/>
  <c r="EU10" i="8" s="1"/>
  <c r="FC11" i="8"/>
  <c r="FC12" i="8" s="1"/>
  <c r="FC10" i="8" s="1"/>
  <c r="FK11" i="8"/>
  <c r="FK12" i="8" s="1"/>
  <c r="FK10" i="8" s="1"/>
  <c r="FS11" i="8"/>
  <c r="FS12" i="8" s="1"/>
  <c r="FS10" i="8" s="1"/>
  <c r="GA11" i="8"/>
  <c r="GA12" i="8" s="1"/>
  <c r="GA10" i="8" s="1"/>
  <c r="GI11" i="8"/>
  <c r="GI12" i="8" s="1"/>
  <c r="GI10" i="8" s="1"/>
  <c r="GQ11" i="8"/>
  <c r="GQ12" i="8" s="1"/>
  <c r="GQ10" i="8" s="1"/>
  <c r="GY11" i="8"/>
  <c r="GY12" i="8" s="1"/>
  <c r="GY10" i="8" s="1"/>
  <c r="HG11" i="8"/>
  <c r="HG12" i="8" s="1"/>
  <c r="HG10" i="8" s="1"/>
  <c r="HO11" i="8"/>
  <c r="HO12" i="8" s="1"/>
  <c r="HO10" i="8" s="1"/>
  <c r="HW11" i="8"/>
  <c r="HW12" i="8" s="1"/>
  <c r="HW10" i="8" s="1"/>
  <c r="IE11" i="8"/>
  <c r="IE12" i="8" s="1"/>
  <c r="IE10" i="8" s="1"/>
  <c r="IM11" i="8"/>
  <c r="IM12" i="8" s="1"/>
  <c r="IM10" i="8" s="1"/>
  <c r="IU11" i="8"/>
  <c r="IU12" i="8" s="1"/>
  <c r="IU10" i="8" s="1"/>
  <c r="JC11" i="8"/>
  <c r="JC12" i="8" s="1"/>
  <c r="JC10" i="8" s="1"/>
  <c r="JK11" i="8"/>
  <c r="JK12" i="8" s="1"/>
  <c r="JK10" i="8" s="1"/>
  <c r="JS11" i="8"/>
  <c r="JS12" i="8" s="1"/>
  <c r="JS10" i="8" s="1"/>
  <c r="KA11" i="8"/>
  <c r="KA12" i="8" s="1"/>
  <c r="KA10" i="8" s="1"/>
  <c r="KI11" i="8"/>
  <c r="KI12" i="8" s="1"/>
  <c r="KI10" i="8" s="1"/>
  <c r="KQ11" i="8"/>
  <c r="KQ12" i="8" s="1"/>
  <c r="KQ10" i="8" s="1"/>
  <c r="KY11" i="8"/>
  <c r="KY12" i="8" s="1"/>
  <c r="KY10" i="8" s="1"/>
  <c r="LG11" i="8"/>
  <c r="LG12" i="8" s="1"/>
  <c r="LG10" i="8" s="1"/>
  <c r="LO11" i="8"/>
  <c r="LO12" i="8" s="1"/>
  <c r="LO10" i="8" s="1"/>
  <c r="LW11" i="8"/>
  <c r="LW12" i="8" s="1"/>
  <c r="LW10" i="8" s="1"/>
  <c r="ME11" i="8"/>
  <c r="ME12" i="8" s="1"/>
  <c r="ME10" i="8" s="1"/>
  <c r="MM11" i="8"/>
  <c r="MM12" i="8" s="1"/>
  <c r="MM10" i="8" s="1"/>
  <c r="MU11" i="8"/>
  <c r="MU12" i="8" s="1"/>
  <c r="MU10" i="8" s="1"/>
  <c r="NC11" i="8"/>
  <c r="NC12" i="8" s="1"/>
  <c r="NC10" i="8" s="1"/>
  <c r="B11" i="8"/>
  <c r="B12" i="8" s="1"/>
  <c r="B10" i="8" s="1"/>
  <c r="H11" i="8"/>
  <c r="H12" i="8" s="1"/>
  <c r="H10" i="8" s="1"/>
  <c r="P11" i="8"/>
  <c r="P12" i="8" s="1"/>
  <c r="P10" i="8" s="1"/>
  <c r="X11" i="8"/>
  <c r="X12" i="8" s="1"/>
  <c r="X10" i="8" s="1"/>
  <c r="AF11" i="8"/>
  <c r="AF12" i="8" s="1"/>
  <c r="AF10" i="8" s="1"/>
  <c r="AN11" i="8"/>
  <c r="AN12" i="8" s="1"/>
  <c r="AN10" i="8" s="1"/>
  <c r="AV11" i="8"/>
  <c r="AV12" i="8" s="1"/>
  <c r="AV10" i="8" s="1"/>
  <c r="BD11" i="8"/>
  <c r="BD12" i="8" s="1"/>
  <c r="BD10" i="8" s="1"/>
  <c r="BL11" i="8"/>
  <c r="BL12" i="8" s="1"/>
  <c r="BL10" i="8" s="1"/>
  <c r="BT11" i="8"/>
  <c r="BT12" i="8" s="1"/>
  <c r="BT10" i="8" s="1"/>
  <c r="CB11" i="8"/>
  <c r="CB12" i="8" s="1"/>
  <c r="CB10" i="8" s="1"/>
  <c r="CJ11" i="8"/>
  <c r="CJ12" i="8" s="1"/>
  <c r="CJ10" i="8" s="1"/>
  <c r="CR11" i="8"/>
  <c r="CR12" i="8" s="1"/>
  <c r="CR10" i="8" s="1"/>
  <c r="CZ11" i="8"/>
  <c r="CZ12" i="8" s="1"/>
  <c r="CZ10" i="8" s="1"/>
  <c r="DH11" i="8"/>
  <c r="DH12" i="8" s="1"/>
  <c r="DH10" i="8" s="1"/>
  <c r="DP11" i="8"/>
  <c r="DP12" i="8" s="1"/>
  <c r="DP10" i="8" s="1"/>
  <c r="DX11" i="8"/>
  <c r="DX12" i="8" s="1"/>
  <c r="DX10" i="8" s="1"/>
  <c r="EF11" i="8"/>
  <c r="EF12" i="8" s="1"/>
  <c r="EF10" i="8" s="1"/>
  <c r="EN11" i="8"/>
  <c r="EN12" i="8" s="1"/>
  <c r="EN10" i="8" s="1"/>
  <c r="EV11" i="8"/>
  <c r="EV12" i="8" s="1"/>
  <c r="EV10" i="8" s="1"/>
  <c r="FD11" i="8"/>
  <c r="FD12" i="8" s="1"/>
  <c r="FD10" i="8" s="1"/>
  <c r="FL11" i="8"/>
  <c r="FL12" i="8" s="1"/>
  <c r="FL10" i="8" s="1"/>
  <c r="FT11" i="8"/>
  <c r="FT12" i="8" s="1"/>
  <c r="FT10" i="8" s="1"/>
  <c r="GB11" i="8"/>
  <c r="GB12" i="8" s="1"/>
  <c r="GB10" i="8" s="1"/>
  <c r="GJ11" i="8"/>
  <c r="GJ12" i="8" s="1"/>
  <c r="GJ10" i="8" s="1"/>
  <c r="GR11" i="8"/>
  <c r="GR12" i="8" s="1"/>
  <c r="GR10" i="8" s="1"/>
  <c r="GZ11" i="8"/>
  <c r="GZ12" i="8" s="1"/>
  <c r="GZ10" i="8" s="1"/>
  <c r="HH11" i="8"/>
  <c r="HH12" i="8" s="1"/>
  <c r="HH10" i="8" s="1"/>
  <c r="HP11" i="8"/>
  <c r="HP12" i="8" s="1"/>
  <c r="HP10" i="8" s="1"/>
  <c r="HX11" i="8"/>
  <c r="HX12" i="8" s="1"/>
  <c r="HX10" i="8" s="1"/>
  <c r="IF11" i="8"/>
  <c r="IF12" i="8" s="1"/>
  <c r="IF10" i="8" s="1"/>
  <c r="IN11" i="8"/>
  <c r="IN12" i="8" s="1"/>
  <c r="IN10" i="8" s="1"/>
  <c r="IV11" i="8"/>
  <c r="IV12" i="8" s="1"/>
  <c r="IV10" i="8" s="1"/>
  <c r="JD11" i="8"/>
  <c r="JD12" i="8" s="1"/>
  <c r="JD10" i="8" s="1"/>
  <c r="JL11" i="8"/>
  <c r="JL12" i="8" s="1"/>
  <c r="JL10" i="8" s="1"/>
  <c r="JT11" i="8"/>
  <c r="JT12" i="8" s="1"/>
  <c r="JT10" i="8" s="1"/>
  <c r="KB11" i="8"/>
  <c r="KB12" i="8" s="1"/>
  <c r="KB10" i="8" s="1"/>
  <c r="KJ11" i="8"/>
  <c r="KJ12" i="8" s="1"/>
  <c r="KJ10" i="8" s="1"/>
  <c r="KR11" i="8"/>
  <c r="KR12" i="8" s="1"/>
  <c r="KR10" i="8" s="1"/>
  <c r="KZ11" i="8"/>
  <c r="KZ12" i="8" s="1"/>
  <c r="KZ10" i="8" s="1"/>
  <c r="LH11" i="8"/>
  <c r="LH12" i="8" s="1"/>
  <c r="LH10" i="8" s="1"/>
  <c r="LP11" i="8"/>
  <c r="LP12" i="8" s="1"/>
  <c r="LP10" i="8" s="1"/>
  <c r="LX11" i="8"/>
  <c r="LX12" i="8" s="1"/>
  <c r="LX10" i="8" s="1"/>
  <c r="MF11" i="8"/>
  <c r="MF12" i="8" s="1"/>
  <c r="MF10" i="8" s="1"/>
  <c r="MN11" i="8"/>
  <c r="MN12" i="8" s="1"/>
  <c r="MN10" i="8" s="1"/>
  <c r="MV11" i="8"/>
  <c r="MV12" i="8" s="1"/>
  <c r="MV1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Cecilia</author>
  </authors>
  <commentList>
    <comment ref="NL9" authorId="0" shapeId="0" xr:uid="{EBF5FFF6-4591-41C5-BC33-ACC57483284C}">
      <text>
        <r>
          <rPr>
            <b/>
            <sz val="9"/>
            <color indexed="81"/>
            <rFont val="Calibri"/>
            <family val="2"/>
            <scheme val="minor"/>
          </rPr>
          <t>Se considera como si fuera la mitad de un día de vacaciones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Cecilia</author>
  </authors>
  <commentList>
    <comment ref="NL9" authorId="0" shapeId="0" xr:uid="{9E1002DF-FB0E-49E1-B9F5-AE10C0E5836B}">
      <text>
        <r>
          <rPr>
            <b/>
            <sz val="9"/>
            <color indexed="81"/>
            <rFont val="Calibri"/>
            <family val="2"/>
            <scheme val="minor"/>
          </rPr>
          <t>Se considera como si fuera la mitad de un día de vacaciones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<sst xmlns="http://schemas.openxmlformats.org/spreadsheetml/2006/main" count="896" uniqueCount="70">
  <si>
    <t>V</t>
  </si>
  <si>
    <t>No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</si>
  <si>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</si>
  <si>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</si>
  <si>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</si>
  <si>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</si>
  <si>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</si>
  <si>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</si>
  <si>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</si>
  <si>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</si>
  <si>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</si>
  <si>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</si>
  <si>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</si>
  <si>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</si>
  <si>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Lun</t>
  </si>
  <si>
    <t>Mar</t>
  </si>
  <si>
    <t>Mie</t>
  </si>
  <si>
    <t>Jue</t>
  </si>
  <si>
    <t>Vie</t>
  </si>
  <si>
    <t>Sab</t>
  </si>
  <si>
    <t>Dom</t>
  </si>
  <si>
    <t>Enfermedad</t>
  </si>
  <si>
    <t>E</t>
  </si>
  <si>
    <t>Vacaciones</t>
  </si>
  <si>
    <t>Nombre</t>
  </si>
  <si>
    <t>Días Laborables</t>
  </si>
  <si>
    <t>Si</t>
  </si>
  <si>
    <t>Fecha</t>
  </si>
  <si>
    <t>Días tomados en el mes</t>
  </si>
  <si>
    <t>Días tomados en el año</t>
  </si>
  <si>
    <t>MD</t>
  </si>
  <si>
    <t>x</t>
  </si>
  <si>
    <t>X</t>
  </si>
  <si>
    <t>Razón de salida</t>
  </si>
  <si>
    <t>Medio-día</t>
  </si>
  <si>
    <t>Cálculos automáticos</t>
  </si>
  <si>
    <t>Especifique los días de semana laborables</t>
  </si>
  <si>
    <t>Listar festivos</t>
  </si>
  <si>
    <t>Fiesta nacional de España</t>
  </si>
  <si>
    <t>Todos los Santos</t>
  </si>
  <si>
    <t>Dia de la constitución</t>
  </si>
  <si>
    <t>Inmaculada Concepción</t>
  </si>
  <si>
    <t>Natividad del Señor</t>
  </si>
  <si>
    <t>Año nuevo</t>
  </si>
  <si>
    <t>David Zamorano</t>
  </si>
  <si>
    <t>Mikel Sanchez</t>
  </si>
  <si>
    <t>Eros Perez</t>
  </si>
  <si>
    <t>Carlos Merino</t>
  </si>
  <si>
    <t>Daria Mayorova</t>
  </si>
  <si>
    <t>Roman Martin</t>
  </si>
  <si>
    <t>Diego González</t>
  </si>
  <si>
    <t>Raúl García Puente</t>
  </si>
  <si>
    <t>Alicia Franco</t>
  </si>
  <si>
    <t>Jaime Pedregal</t>
  </si>
  <si>
    <t>Jaime Arribas</t>
  </si>
  <si>
    <t>Diego Duro</t>
  </si>
  <si>
    <t>Alberto Da Silva</t>
  </si>
  <si>
    <t>Adrian Crespo</t>
  </si>
  <si>
    <t>Andre</t>
  </si>
  <si>
    <t>Juan A. Calleja</t>
  </si>
  <si>
    <t>David Fan</t>
  </si>
  <si>
    <t>Juan Antonio Cobo</t>
  </si>
  <si>
    <t>Jose Antonio González</t>
  </si>
  <si>
    <t>Alberto Velasco</t>
  </si>
  <si>
    <t>Raúl Alegría</t>
  </si>
  <si>
    <t>Otros</t>
  </si>
  <si>
    <t>O</t>
  </si>
  <si>
    <t>Festivo Local</t>
  </si>
  <si>
    <t>F</t>
  </si>
  <si>
    <t>Festivo Nacional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</si>
</sst>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dd"/>
    <numFmt numFmtId="166" formatCode=";;;"/>
    <numFmt numFmtId="167" formatCode="dd\ mmm\,\ yyyy"/>
    <numFmt numFmtId="168" formatCode="&quot;$&quot;#,##0.00_);[Red]\(&quot;$&quot;#,##0.00\)"/>
  </numFmts>
  <fonts count="2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rgb="FF14BD8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9"/>
      <color indexed="8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rgb="FF14BD88"/>
      </top>
      <bottom style="thin">
        <color theme="0"/>
      </bottom>
      <diagonal/>
    </border>
    <border>
      <left/>
      <right/>
      <top style="thin">
        <color rgb="FF14BD88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rgb="FFFF0000"/>
      </left>
      <right style="medium">
        <color theme="0" tint="-0.34998626667073579"/>
      </right>
      <top style="medium">
        <color rgb="FFFF0000"/>
      </top>
      <bottom style="medium">
        <color theme="0" tint="-0.14993743705557422"/>
      </bottom>
      <diagonal/>
    </border>
    <border>
      <left style="medium">
        <color theme="0" tint="-0.34998626667073579"/>
      </left>
      <right style="medium">
        <color rgb="FFFF0000"/>
      </right>
      <top style="medium">
        <color rgb="FFFF0000"/>
      </top>
      <bottom style="medium">
        <color theme="0" tint="-0.14993743705557422"/>
      </bottom>
      <diagonal/>
    </border>
    <border>
      <left style="medium">
        <color rgb="FFFF0000"/>
      </left>
      <right style="medium">
        <color theme="0" tint="-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34998626667073579"/>
      </left>
      <right style="medium">
        <color rgb="FFFF0000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rgb="FFFF0000"/>
      </left>
      <right style="medium">
        <color theme="0" tint="-0.34998626667073579"/>
      </right>
      <top style="medium">
        <color theme="0" tint="-0.14993743705557422"/>
      </top>
      <bottom style="medium">
        <color rgb="FFFF0000"/>
      </bottom>
      <diagonal/>
    </border>
    <border>
      <left style="medium">
        <color theme="0" tint="-0.34998626667073579"/>
      </left>
      <right style="medium">
        <color rgb="FFFF0000"/>
      </right>
      <top style="medium">
        <color theme="0" tint="-0.14993743705557422"/>
      </top>
      <bottom style="medium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medium">
        <color rgb="FFFF0000"/>
      </left>
      <right style="medium">
        <color theme="0" tint="-0.14993743705557422"/>
      </right>
      <top style="medium">
        <color rgb="FFFF0000"/>
      </top>
      <bottom style="medium">
        <color theme="0" tint="-0.14993743705557422"/>
      </bottom>
      <diagonal/>
    </border>
    <border>
      <left style="medium">
        <color theme="0" tint="-0.14993743705557422"/>
      </left>
      <right style="medium">
        <color rgb="FFFF0000"/>
      </right>
      <top style="medium">
        <color rgb="FFFF0000"/>
      </top>
      <bottom style="medium">
        <color theme="0" tint="-0.14993743705557422"/>
      </bottom>
      <diagonal/>
    </border>
    <border>
      <left style="medium">
        <color rgb="FFFF0000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93743705557422"/>
      </left>
      <right style="medium">
        <color rgb="FFFF0000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rgb="FFFF0000"/>
      </left>
      <right style="medium">
        <color theme="0" tint="-0.14993743705557422"/>
      </right>
      <top style="medium">
        <color theme="0" tint="-0.14993743705557422"/>
      </top>
      <bottom style="medium">
        <color rgb="FFFF0000"/>
      </bottom>
      <diagonal/>
    </border>
    <border>
      <left style="medium">
        <color theme="0" tint="-0.14993743705557422"/>
      </left>
      <right style="medium">
        <color rgb="FFFF0000"/>
      </right>
      <top style="medium">
        <color theme="0" tint="-0.14993743705557422"/>
      </top>
      <bottom style="medium">
        <color rgb="FFFF0000"/>
      </bottom>
      <diagonal/>
    </border>
  </borders>
  <cellStyleXfs count="5">
    <xf numFmtId="0" fontId="0" fillId="0" borderId="0"/>
    <xf numFmtId="0" fontId="11" fillId="0" borderId="0"/>
    <xf numFmtId="0" fontId="12" fillId="0" borderId="0"/>
    <xf numFmtId="164" fontId="11" fillId="0" borderId="0" applyFont="0" applyFill="0" applyBorder="0" applyAlignment="0" applyProtection="0"/>
    <xf numFmtId="0" fontId="22" fillId="0" borderId="0"/>
  </cellStyleXfs>
  <cellXfs count="80">
    <xf numFmtId="0" fontId="0" fillId="0" borderId="0" xfId="0"/>
    <xf numFmtId="0" fontId="0" fillId="0" borderId="1" xfId="0" applyBorder="1"/>
    <xf numFmtId="0" fontId="1" fillId="0" borderId="0" xfId="0" applyFont="1" applyBorder="1"/>
    <xf numFmtId="0" fontId="0" fillId="0" borderId="1" xfId="0" applyFont="1" applyBorder="1"/>
    <xf numFmtId="14" fontId="0" fillId="0" borderId="0" xfId="0" applyNumberFormat="1"/>
    <xf numFmtId="15" fontId="0" fillId="0" borderId="0" xfId="0" applyNumberFormat="1"/>
    <xf numFmtId="166" fontId="1" fillId="0" borderId="0" xfId="0" applyNumberFormat="1" applyFont="1" applyBorder="1"/>
    <xf numFmtId="0" fontId="0" fillId="0" borderId="2" xfId="0" applyBorder="1"/>
    <xf numFmtId="0" fontId="2" fillId="0" borderId="0" xfId="0" applyFont="1" applyAlignment="1">
      <alignment horizontal="left" indent="1"/>
    </xf>
    <xf numFmtId="0" fontId="1" fillId="0" borderId="0" xfId="0" applyFont="1" applyFill="1" applyBorder="1"/>
    <xf numFmtId="166" fontId="5" fillId="0" borderId="0" xfId="0" applyNumberFormat="1" applyFont="1" applyBorder="1"/>
    <xf numFmtId="0" fontId="0" fillId="0" borderId="0" xfId="0" applyFont="1"/>
    <xf numFmtId="0" fontId="0" fillId="0" borderId="0" xfId="0" applyFont="1" applyFill="1"/>
    <xf numFmtId="165" fontId="6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4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left" indent="1"/>
    </xf>
    <xf numFmtId="0" fontId="4" fillId="0" borderId="0" xfId="0" applyFont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ill="1"/>
    <xf numFmtId="0" fontId="14" fillId="0" borderId="0" xfId="0" applyFont="1" applyAlignment="1">
      <alignment horizontal="left" indent="1"/>
    </xf>
    <xf numFmtId="165" fontId="6" fillId="0" borderId="3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66" fontId="1" fillId="0" borderId="0" xfId="0" applyNumberFormat="1" applyFont="1" applyFill="1" applyBorder="1"/>
    <xf numFmtId="166" fontId="5" fillId="0" borderId="0" xfId="0" applyNumberFormat="1" applyFont="1" applyFill="1" applyBorder="1"/>
    <xf numFmtId="0" fontId="4" fillId="0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17" fillId="2" borderId="4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/>
    </xf>
    <xf numFmtId="0" fontId="3" fillId="0" borderId="13" xfId="0" applyFont="1" applyFill="1" applyBorder="1"/>
    <xf numFmtId="167" fontId="3" fillId="0" borderId="13" xfId="0" applyNumberFormat="1" applyFont="1" applyFill="1" applyBorder="1"/>
    <xf numFmtId="0" fontId="10" fillId="0" borderId="0" xfId="0" applyFont="1" applyFill="1" applyBorder="1" applyAlignment="1">
      <alignment horizontal="center"/>
    </xf>
    <xf numFmtId="1" fontId="20" fillId="2" borderId="4" xfId="3" applyNumberFormat="1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 wrapText="1"/>
    </xf>
    <xf numFmtId="0" fontId="17" fillId="0" borderId="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14" fillId="0" borderId="0" xfId="0" applyFont="1"/>
    <xf numFmtId="0" fontId="0" fillId="4" borderId="0" xfId="0" applyFill="1"/>
    <xf numFmtId="0" fontId="16" fillId="4" borderId="15" xfId="0" applyFont="1" applyFill="1" applyBorder="1" applyAlignment="1">
      <alignment horizontal="center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6" fillId="4" borderId="16" xfId="0" applyFont="1" applyFill="1" applyBorder="1" applyAlignment="1">
      <alignment horizontal="center" vertical="center" wrapText="1"/>
    </xf>
    <xf numFmtId="0" fontId="16" fillId="4" borderId="5" xfId="0" applyFont="1" applyFill="1" applyBorder="1" applyAlignment="1">
      <alignment horizontal="center" vertical="center" wrapText="1"/>
    </xf>
    <xf numFmtId="0" fontId="18" fillId="4" borderId="11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left"/>
    </xf>
    <xf numFmtId="168" fontId="17" fillId="2" borderId="17" xfId="0" applyNumberFormat="1" applyFont="1" applyFill="1" applyBorder="1" applyAlignment="1">
      <alignment horizontal="left" vertical="center" indent="1"/>
    </xf>
    <xf numFmtId="0" fontId="17" fillId="3" borderId="18" xfId="0" applyFont="1" applyFill="1" applyBorder="1" applyAlignment="1">
      <alignment horizontal="center" vertical="center"/>
    </xf>
    <xf numFmtId="168" fontId="17" fillId="2" borderId="19" xfId="0" applyNumberFormat="1" applyFont="1" applyFill="1" applyBorder="1" applyAlignment="1">
      <alignment horizontal="left" vertical="center" indent="1"/>
    </xf>
    <xf numFmtId="0" fontId="17" fillId="3" borderId="20" xfId="0" applyFont="1" applyFill="1" applyBorder="1" applyAlignment="1">
      <alignment horizontal="center" vertical="center"/>
    </xf>
    <xf numFmtId="168" fontId="17" fillId="2" borderId="21" xfId="0" applyNumberFormat="1" applyFont="1" applyFill="1" applyBorder="1" applyAlignment="1">
      <alignment horizontal="left" vertical="center" indent="1"/>
    </xf>
    <xf numFmtId="0" fontId="17" fillId="3" borderId="22" xfId="0" applyFont="1" applyFill="1" applyBorder="1" applyAlignment="1">
      <alignment horizontal="center" vertical="center"/>
    </xf>
    <xf numFmtId="0" fontId="19" fillId="0" borderId="2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68" fontId="17" fillId="2" borderId="24" xfId="0" applyNumberFormat="1" applyFont="1" applyFill="1" applyBorder="1" applyAlignment="1">
      <alignment horizontal="left" vertical="center" indent="1"/>
    </xf>
    <xf numFmtId="0" fontId="17" fillId="3" borderId="25" xfId="0" applyFont="1" applyFill="1" applyBorder="1" applyAlignment="1">
      <alignment horizontal="center" vertical="center"/>
    </xf>
    <xf numFmtId="168" fontId="17" fillId="2" borderId="26" xfId="0" applyNumberFormat="1" applyFont="1" applyFill="1" applyBorder="1" applyAlignment="1">
      <alignment horizontal="left" vertical="center" indent="1"/>
    </xf>
    <xf numFmtId="0" fontId="17" fillId="3" borderId="27" xfId="0" applyFont="1" applyFill="1" applyBorder="1" applyAlignment="1">
      <alignment horizontal="center" vertical="center"/>
    </xf>
    <xf numFmtId="168" fontId="17" fillId="2" borderId="28" xfId="0" applyNumberFormat="1" applyFont="1" applyFill="1" applyBorder="1" applyAlignment="1">
      <alignment horizontal="left" vertical="center" indent="1"/>
    </xf>
    <xf numFmtId="0" fontId="17" fillId="3" borderId="29" xfId="0" applyFont="1" applyFill="1" applyBorder="1" applyAlignment="1">
      <alignment horizontal="center" vertical="center"/>
    </xf>
    <xf numFmtId="1" fontId="23" fillId="2" borderId="4" xfId="3" applyNumberFormat="1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7" fillId="0" borderId="0" xfId="0" applyFont="1" applyFill="1"/>
    <xf numFmtId="0" fontId="24" fillId="5" borderId="13" xfId="0" applyFont="1" applyFill="1" applyBorder="1" applyAlignment="1">
      <alignment horizontal="left" vertical="center" indent="1"/>
    </xf>
  </cellXfs>
  <cellStyles count="5">
    <cellStyle name="Comma" xfId="3" builtinId="3"/>
    <cellStyle name="Normal" xfId="0" builtinId="0"/>
    <cellStyle name="Normal 2" xfId="1" xr:uid="{00000000-0005-0000-0000-000002000000}"/>
    <cellStyle name="Normal 3" xfId="2" xr:uid="{00000000-0005-0000-0000-000003000000}"/>
    <cellStyle name="Normal 4" xfId="4" xr:uid="{00000000-0005-0000-0000-000004000000}"/>
  </cellStyles>
  <dxfs count="26">
    <dxf>
      <font>
        <color rgb="FFFF0000"/>
      </font>
    </dxf>
    <dxf>
      <font>
        <b/>
        <i val="0"/>
        <color rgb="FFFFFF00"/>
      </font>
      <fill>
        <patternFill patternType="solid">
          <bgColor rgb="FF00B050"/>
        </patternFill>
      </fill>
    </dxf>
    <dxf>
      <font>
        <b/>
        <i val="0"/>
        <color rgb="FFFFFF00"/>
      </font>
      <fill>
        <patternFill patternType="solid">
          <bgColor rgb="FF00B050"/>
        </patternFill>
      </fill>
    </dxf>
    <dxf>
      <font>
        <b/>
        <i val="0"/>
        <color rgb="FFFFFF00"/>
      </font>
      <fill>
        <patternFill patternType="solid">
          <bgColor rgb="FF00B050"/>
        </patternFill>
      </fill>
    </dxf>
    <dxf>
      <font>
        <b/>
        <i val="0"/>
        <color theme="0"/>
      </font>
      <fill>
        <patternFill patternType="solid">
          <bgColor theme="0" tint="-0.499984740745262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2509842219306009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00"/>
      </font>
      <fill>
        <patternFill patternType="solid">
          <bgColor rgb="FF00B050"/>
        </patternFill>
      </fill>
    </dxf>
    <dxf>
      <fill>
        <gradientFill degree="90">
          <stop position="0">
            <color theme="0"/>
          </stop>
          <stop position="1">
            <color rgb="FF7030A0"/>
          </stop>
        </gradientFill>
      </fill>
    </dxf>
    <dxf>
      <fill>
        <gradientFill degree="90">
          <stop position="0">
            <color theme="0"/>
          </stop>
          <stop position="0.5">
            <color rgb="FFFFFF6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FFCC"/>
          </stop>
          <stop position="1">
            <color theme="0"/>
          </stop>
        </gradientFill>
      </fill>
    </dxf>
    <dxf>
      <fill>
        <gradientFill type="path">
          <stop position="0">
            <color theme="0"/>
          </stop>
          <stop position="1">
            <color rgb="FFFFC000"/>
          </stop>
        </gradientFill>
      </fill>
    </dxf>
    <dxf>
      <font>
        <b/>
        <i val="0"/>
        <color theme="1"/>
      </font>
      <fill>
        <gradientFill degree="90">
          <stop position="0">
            <color theme="0"/>
          </stop>
          <stop position="0.5">
            <color rgb="FF00B0F0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0.40000610370189521"/>
          </stop>
        </gradient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rgb="FFFFFF00"/>
      </font>
      <fill>
        <patternFill patternType="solid">
          <bgColor rgb="FF00B050"/>
        </patternFill>
      </fill>
    </dxf>
    <dxf>
      <font>
        <b/>
        <i val="0"/>
        <color rgb="FFFFFF00"/>
      </font>
      <fill>
        <patternFill patternType="solid">
          <bgColor rgb="FF00B050"/>
        </patternFill>
      </fill>
    </dxf>
    <dxf>
      <font>
        <b/>
        <i val="0"/>
        <color theme="0"/>
      </font>
      <fill>
        <patternFill patternType="solid">
          <bgColor theme="0" tint="-0.499984740745262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2509842219306009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00"/>
      </font>
      <fill>
        <patternFill patternType="solid">
          <bgColor rgb="FF00B050"/>
        </patternFill>
      </fill>
    </dxf>
    <dxf>
      <fill>
        <gradientFill degree="90">
          <stop position="0">
            <color theme="0"/>
          </stop>
          <stop position="1">
            <color rgb="FF7030A0"/>
          </stop>
        </gradientFill>
      </fill>
    </dxf>
    <dxf>
      <fill>
        <gradientFill degree="90">
          <stop position="0">
            <color theme="0"/>
          </stop>
          <stop position="0.5">
            <color rgb="FFFFFF6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FFCC"/>
          </stop>
          <stop position="1">
            <color theme="0"/>
          </stop>
        </gradientFill>
      </fill>
    </dxf>
    <dxf>
      <fill>
        <gradientFill type="path">
          <stop position="0">
            <color theme="0"/>
          </stop>
          <stop position="1">
            <color rgb="FFFFC000"/>
          </stop>
        </gradientFill>
      </fill>
    </dxf>
    <dxf>
      <font>
        <b/>
        <i val="0"/>
        <color theme="1"/>
      </font>
      <fill>
        <gradientFill degree="90">
          <stop position="0">
            <color theme="0"/>
          </stop>
          <stop position="0.5">
            <color rgb="FF00B0F0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0.40000610370189521"/>
          </stop>
        </gradientFill>
      </fill>
    </dxf>
    <dxf>
      <font>
        <b/>
        <i val="0"/>
        <color theme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00FFCC"/>
      <color rgb="FFFFFF66"/>
      <color rgb="FFFFCC66"/>
      <color rgb="FF14BD88"/>
      <color rgb="FFFDF945"/>
      <color rgb="FFFFFF99"/>
      <color rgb="FFFF9999"/>
      <color rgb="FFFF6699"/>
      <color rgb="FF00808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342</xdr:col>
      <xdr:colOff>123033</xdr:colOff>
      <xdr:row>6</xdr:row>
      <xdr:rowOff>16669</xdr:rowOff>
    </xdr:from>
    <xdr:to>
      <xdr:col>349</xdr:col>
      <xdr:colOff>11907</xdr:colOff>
      <xdr:row>8</xdr:row>
      <xdr:rowOff>86519</xdr:rowOff>
    </xdr:to>
    <xdr:sp macro="" textlink="">
      <xdr:nvSpPr>
        <xdr:cNvPr id="4" name="Rounded Rectangl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33677" y="1243013"/>
          <a:ext cx="1716086" cy="507206"/>
        </a:xfrm>
        <a:prstGeom prst="roundRect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0000"/>
              </a:solidFill>
            </a:rPr>
            <a:t>Elija</a:t>
          </a:r>
          <a:r>
            <a:rPr lang="en-US" sz="1000" b="1" baseline="0">
              <a:solidFill>
                <a:srgbClr val="FF0000"/>
              </a:solidFill>
            </a:rPr>
            <a:t> el mes que desea completar</a:t>
          </a:r>
          <a:endParaRPr lang="en-US" sz="10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1</xdr:colOff>
      <xdr:row>1</xdr:row>
      <xdr:rowOff>57011</xdr:rowOff>
    </xdr:from>
    <xdr:to>
      <xdr:col>0</xdr:col>
      <xdr:colOff>2350382</xdr:colOff>
      <xdr:row>1</xdr:row>
      <xdr:rowOff>410509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" y="235605"/>
          <a:ext cx="2356731" cy="347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</a:rPr>
            <a:t>VACACIONES</a:t>
          </a:r>
          <a:r>
            <a:rPr lang="en-US" sz="1200" b="1" baseline="0">
              <a:solidFill>
                <a:schemeClr val="bg1"/>
              </a:solidFill>
            </a:rPr>
            <a:t> DE EMPLEADOS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342</xdr:col>
      <xdr:colOff>123033</xdr:colOff>
      <xdr:row>6</xdr:row>
      <xdr:rowOff>16669</xdr:rowOff>
    </xdr:from>
    <xdr:to>
      <xdr:col>349</xdr:col>
      <xdr:colOff>11907</xdr:colOff>
      <xdr:row>8</xdr:row>
      <xdr:rowOff>83344</xdr:rowOff>
    </xdr:to>
    <xdr:sp macro="" textlink="">
      <xdr:nvSpPr>
        <xdr:cNvPr id="3" name="Rounded Rectangle 6">
          <a:extLst>
            <a:ext uri="{FF2B5EF4-FFF2-40B4-BE49-F238E27FC236}">
              <a16:creationId xmlns:a16="http://schemas.microsoft.com/office/drawing/2014/main" id="{FC920484-A965-4928-97F7-FD5788B58CBF}"/>
            </a:ext>
          </a:extLst>
        </xdr:cNvPr>
        <xdr:cNvSpPr/>
      </xdr:nvSpPr>
      <xdr:spPr>
        <a:xfrm>
          <a:off x="2732883" y="1235869"/>
          <a:ext cx="1689099" cy="504031"/>
        </a:xfrm>
        <a:prstGeom prst="roundRect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0000"/>
              </a:solidFill>
            </a:rPr>
            <a:t>Elija</a:t>
          </a:r>
          <a:r>
            <a:rPr lang="en-US" sz="1000" b="1" baseline="0">
              <a:solidFill>
                <a:srgbClr val="FF0000"/>
              </a:solidFill>
            </a:rPr>
            <a:t> el mes y el año que desea completar</a:t>
          </a:r>
          <a:endParaRPr lang="en-US" sz="10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1</xdr:colOff>
      <xdr:row>1</xdr:row>
      <xdr:rowOff>57011</xdr:rowOff>
    </xdr:from>
    <xdr:to>
      <xdr:col>0</xdr:col>
      <xdr:colOff>2353557</xdr:colOff>
      <xdr:row>1</xdr:row>
      <xdr:rowOff>407334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3CE24952-9E7B-451B-8A89-A95C87E72C7B}"/>
            </a:ext>
          </a:extLst>
        </xdr:cNvPr>
        <xdr:cNvSpPr txBox="1"/>
      </xdr:nvSpPr>
      <xdr:spPr>
        <a:xfrm>
          <a:off x="1" y="237986"/>
          <a:ext cx="2350381" cy="3534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</a:rPr>
            <a:t>VACACIONES</a:t>
          </a:r>
          <a:r>
            <a:rPr lang="en-US" sz="1200" b="1" baseline="0">
              <a:solidFill>
                <a:schemeClr val="bg1"/>
              </a:solidFill>
            </a:rPr>
            <a:t> DE EMPLEADOS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28024</xdr:colOff>
      <xdr:row>0</xdr:row>
      <xdr:rowOff>44588</xdr:rowOff>
    </xdr:from>
    <xdr:to>
      <xdr:col>2</xdr:col>
      <xdr:colOff>657503</xdr:colOff>
      <xdr:row>0</xdr:row>
      <xdr:rowOff>371613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23632" y="41413"/>
          <a:ext cx="2228022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</a:rPr>
            <a:t>VACACIONES</a:t>
          </a:r>
          <a:r>
            <a:rPr lang="en-US" sz="1200" b="1" baseline="0">
              <a:solidFill>
                <a:schemeClr val="bg1"/>
              </a:solidFill>
            </a:rPr>
            <a:t> DE EMPLEADOS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s_Tomados">
    <tabColor rgb="FFFF0000"/>
  </sheetPr>
  <dimension ref="A2:ACB59"/>
  <sheetViews>
    <sheetView showGridLines="0" tabSelected="1" showWhiteSpace="0" zoomScale="80" zoomScaleNormal="80" zoomScaleSheetLayoutView="100" workbookViewId="0">
      <selection activeCell="A8" sqref="A8"/>
    </sheetView>
  </sheetViews>
  <sheetFormatPr defaultColWidth="9.1796875" defaultRowHeight="14.5" x14ac:dyDescent="0.35"/>
  <cols>
    <col min="1" max="1" width="37.36328125" style="11" customWidth="1"/>
    <col min="2" max="10" width="3.7265625" style="15" hidden="1" customWidth="1"/>
    <col min="11" max="11" width="4.1796875" style="15" hidden="1" customWidth="1"/>
    <col min="12" max="30" width="3.7265625" style="15" hidden="1" customWidth="1"/>
    <col min="31" max="31" width="4.7265625" style="15" hidden="1" customWidth="1"/>
    <col min="32" max="32" width="4.453125" style="15" hidden="1" customWidth="1"/>
    <col min="33" max="33" width="3.26953125" style="15" hidden="1" customWidth="1"/>
    <col min="34" max="247" width="3.7265625" style="15" hidden="1" customWidth="1"/>
    <col min="248" max="248" width="3.81640625" style="15" hidden="1" customWidth="1"/>
    <col min="249" max="249" width="3.90625" style="15" hidden="1" customWidth="1"/>
    <col min="250" max="342" width="3.7265625" style="15" hidden="1" customWidth="1"/>
    <col min="343" max="373" width="3.7265625" style="15" customWidth="1"/>
    <col min="374" max="374" width="1.1796875" style="35" customWidth="1"/>
    <col min="375" max="375" width="17.90625" style="35" customWidth="1"/>
    <col min="376" max="376" width="13.1796875" style="35" customWidth="1"/>
    <col min="377" max="377" width="1.7265625" style="35" customWidth="1"/>
    <col min="378" max="378" width="12.1796875" style="15" customWidth="1"/>
    <col min="379" max="379" width="15.26953125" style="15" customWidth="1"/>
    <col min="380" max="380" width="1.26953125" style="16" customWidth="1"/>
    <col min="381" max="381" width="5.1796875" style="35" bestFit="1" customWidth="1"/>
    <col min="382" max="384" width="5.1796875" style="11" bestFit="1" customWidth="1"/>
    <col min="385" max="395" width="5.7265625" style="11" customWidth="1"/>
    <col min="396" max="16384" width="9.1796875" style="11"/>
  </cols>
  <sheetData>
    <row r="2" spans="1:756" s="26" customFormat="1" ht="35.25" customHeight="1" x14ac:dyDescent="0.3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  <c r="HR2" s="51"/>
      <c r="HS2" s="51"/>
      <c r="HT2" s="51"/>
      <c r="HU2" s="51"/>
      <c r="HV2" s="51"/>
      <c r="HW2" s="51"/>
      <c r="HX2" s="51"/>
      <c r="HY2" s="51"/>
      <c r="HZ2" s="51"/>
      <c r="IA2" s="51"/>
      <c r="IB2" s="51"/>
      <c r="IC2" s="51"/>
      <c r="ID2" s="51"/>
      <c r="IE2" s="51"/>
      <c r="IF2" s="51"/>
      <c r="IG2" s="51"/>
      <c r="IH2" s="51"/>
      <c r="II2" s="51"/>
      <c r="IJ2" s="51"/>
      <c r="IK2" s="51"/>
      <c r="IL2" s="51"/>
      <c r="IM2" s="51"/>
      <c r="IN2" s="51"/>
      <c r="IO2" s="51"/>
      <c r="IP2" s="51"/>
      <c r="IQ2" s="51"/>
      <c r="IR2" s="51"/>
      <c r="IS2" s="51"/>
      <c r="IT2" s="51"/>
      <c r="IU2" s="51"/>
      <c r="IV2" s="51"/>
      <c r="IW2" s="51"/>
      <c r="IX2" s="51"/>
      <c r="IY2" s="51"/>
      <c r="IZ2" s="51"/>
      <c r="JA2" s="51"/>
      <c r="JB2" s="51"/>
      <c r="JC2" s="51"/>
      <c r="JD2" s="51"/>
      <c r="JE2" s="51"/>
      <c r="JF2" s="51"/>
      <c r="JG2" s="51"/>
      <c r="JH2" s="51"/>
      <c r="JI2" s="51"/>
      <c r="JJ2" s="51"/>
      <c r="JK2" s="51"/>
      <c r="JL2" s="51"/>
      <c r="JM2" s="51"/>
      <c r="JN2" s="51"/>
      <c r="JO2" s="51"/>
      <c r="JP2" s="51"/>
      <c r="JQ2" s="51"/>
      <c r="JR2" s="51"/>
      <c r="JS2" s="51"/>
      <c r="JT2" s="51"/>
      <c r="JU2" s="51"/>
      <c r="JV2" s="51"/>
      <c r="JW2" s="51"/>
      <c r="JX2" s="51"/>
      <c r="JY2" s="51"/>
      <c r="JZ2" s="51"/>
      <c r="KA2" s="51"/>
      <c r="KB2" s="51"/>
      <c r="KC2" s="51"/>
      <c r="KD2" s="51"/>
      <c r="KE2" s="51"/>
      <c r="KF2" s="51"/>
      <c r="KG2" s="51"/>
      <c r="KH2" s="51"/>
      <c r="KI2" s="51"/>
      <c r="KJ2" s="51"/>
      <c r="KK2" s="51"/>
      <c r="KL2" s="51"/>
      <c r="KM2" s="51"/>
      <c r="KN2" s="51"/>
      <c r="KO2" s="51"/>
      <c r="KP2" s="51"/>
      <c r="KQ2" s="51"/>
      <c r="KR2" s="51"/>
      <c r="KS2" s="51"/>
      <c r="KT2" s="51"/>
      <c r="KU2" s="51"/>
      <c r="KV2" s="51"/>
      <c r="KW2" s="51"/>
      <c r="KX2" s="51"/>
      <c r="KY2" s="51"/>
      <c r="KZ2" s="51"/>
      <c r="LA2" s="51"/>
      <c r="LB2" s="51"/>
      <c r="LC2" s="51"/>
      <c r="LD2" s="51"/>
      <c r="LE2" s="51"/>
      <c r="LF2" s="51"/>
      <c r="LG2" s="51"/>
      <c r="LH2" s="51"/>
      <c r="LI2" s="51"/>
      <c r="LJ2" s="51"/>
      <c r="LK2" s="51"/>
      <c r="LL2" s="51"/>
      <c r="LM2" s="51"/>
      <c r="LN2" s="51"/>
      <c r="LO2" s="51"/>
      <c r="LP2" s="51"/>
      <c r="LQ2" s="51"/>
      <c r="LR2" s="51"/>
      <c r="LS2" s="51"/>
      <c r="LT2" s="51"/>
      <c r="LU2" s="51"/>
      <c r="LV2" s="51"/>
      <c r="LW2" s="51"/>
      <c r="LX2" s="51"/>
      <c r="LY2" s="51"/>
      <c r="LZ2" s="51"/>
      <c r="MA2" s="51"/>
      <c r="MB2" s="51"/>
      <c r="MC2" s="51"/>
      <c r="MD2" s="51"/>
      <c r="ME2" s="51"/>
      <c r="MF2" s="51"/>
      <c r="MG2" s="51"/>
      <c r="MH2" s="51"/>
      <c r="MI2" s="51"/>
      <c r="MJ2" s="51"/>
      <c r="MK2" s="51"/>
      <c r="ML2" s="51"/>
      <c r="MM2" s="51"/>
      <c r="MN2" s="51"/>
      <c r="MO2" s="51"/>
      <c r="MP2" s="51"/>
      <c r="MQ2" s="51"/>
      <c r="MR2" s="51"/>
      <c r="MS2" s="51"/>
      <c r="MT2" s="51"/>
      <c r="MU2" s="51"/>
      <c r="MV2" s="51"/>
      <c r="MW2" s="51"/>
      <c r="MX2" s="51"/>
      <c r="MY2" s="51"/>
      <c r="MZ2" s="51"/>
      <c r="NA2" s="51"/>
      <c r="NB2" s="51"/>
      <c r="NC2" s="51"/>
      <c r="ND2" s="51"/>
      <c r="NE2" s="51"/>
      <c r="NF2" s="51"/>
      <c r="NG2" s="51"/>
      <c r="NH2" s="51"/>
      <c r="NI2" s="51"/>
      <c r="NJ2" s="34"/>
      <c r="NK2" s="34"/>
      <c r="NL2" s="34"/>
      <c r="NM2" s="34"/>
      <c r="NQ2" s="34"/>
    </row>
    <row r="3" spans="1:756" ht="15" thickBot="1" x14ac:dyDescent="0.4"/>
    <row r="4" spans="1:756" ht="15" hidden="1" thickBot="1" x14ac:dyDescent="0.4">
      <c r="AF4" s="23" t="s">
        <v>31</v>
      </c>
    </row>
    <row r="5" spans="1:756" ht="16" thickBot="1" x14ac:dyDescent="0.4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K5" s="69" t="s">
        <v>21</v>
      </c>
      <c r="NL5" s="70" t="s">
        <v>22</v>
      </c>
      <c r="NM5" s="47"/>
      <c r="NQ5" s="36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</row>
    <row r="6" spans="1:756" ht="16" thickBot="1" x14ac:dyDescent="0.4">
      <c r="A6" s="24"/>
      <c r="B6" s="27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K6" s="71" t="s">
        <v>23</v>
      </c>
      <c r="NL6" s="72" t="s">
        <v>0</v>
      </c>
      <c r="NM6" s="47"/>
      <c r="NQ6" s="36"/>
      <c r="NR6" s="17"/>
      <c r="NS6" s="17"/>
      <c r="NT6" s="17"/>
      <c r="NU6" s="17"/>
      <c r="NV6" s="17"/>
      <c r="NW6" s="17"/>
      <c r="NX6" s="17"/>
      <c r="NY6" s="17"/>
      <c r="NZ6" s="17"/>
      <c r="OA6" s="17"/>
    </row>
    <row r="7" spans="1:756" ht="16" thickBot="1" x14ac:dyDescent="0.4">
      <c r="A7" s="24">
        <v>2020</v>
      </c>
      <c r="B7" s="8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K7" s="71" t="s">
        <v>65</v>
      </c>
      <c r="NL7" s="72" t="s">
        <v>66</v>
      </c>
      <c r="NM7" s="47"/>
      <c r="NQ7" s="36"/>
      <c r="NR7" s="19"/>
      <c r="NS7" s="19"/>
      <c r="NT7" s="19"/>
      <c r="NU7" s="19"/>
      <c r="NV7" s="19"/>
      <c r="NW7" s="19"/>
      <c r="NX7" s="19"/>
      <c r="NY7" s="19"/>
      <c r="NZ7" s="19"/>
      <c r="OA7" s="19"/>
    </row>
    <row r="8" spans="1:756" s="12" customFormat="1" ht="19" thickBot="1" x14ac:dyDescent="0.5">
      <c r="A8" s="66" t="s">
        <v>13</v>
      </c>
      <c r="B8" s="22"/>
      <c r="NJ8" s="35"/>
      <c r="NK8" s="71" t="s">
        <v>67</v>
      </c>
      <c r="NL8" s="72" t="s">
        <v>68</v>
      </c>
      <c r="NM8" s="47"/>
      <c r="NQ8" s="36"/>
      <c r="NR8" s="21"/>
      <c r="NS8" s="21"/>
      <c r="NT8" s="21"/>
      <c r="NU8" s="21"/>
      <c r="NV8" s="21"/>
      <c r="NW8" s="21"/>
      <c r="NX8" s="21"/>
      <c r="NY8" s="21"/>
      <c r="NZ8" s="21"/>
      <c r="OA8" s="21"/>
    </row>
    <row r="9" spans="1:756" ht="16" thickBot="1" x14ac:dyDescent="0.4">
      <c r="A9" s="42">
        <f>VLOOKUP(A8,Meses_num,2,0)</f>
        <v>12</v>
      </c>
      <c r="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J9" s="30"/>
      <c r="NK9" s="73" t="s">
        <v>34</v>
      </c>
      <c r="NL9" s="74" t="s">
        <v>30</v>
      </c>
      <c r="NM9" s="47"/>
      <c r="NQ9" s="9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</row>
    <row r="10" spans="1:756" ht="12.75" customHeight="1" x14ac:dyDescent="0.35">
      <c r="A10" s="25"/>
      <c r="B10" s="10" t="b">
        <f>IFERROR(IF(AND(VLOOKUP(B12,'Días laborables y festivos'!$E$5:$F$11,2,0)="Si",NOT(ISNUMBER(VLOOKUP(DATE($A$7,$A$9+1-1,B11),Feriados,1,0)))),TRUE,FALSE),FALSE)</f>
        <v>0</v>
      </c>
      <c r="C10" s="10" t="b">
        <f>IFERROR(IF(AND(VLOOKUP(C12,'Días laborables y festivos'!$E$5:$F$11,2,0)="Si",NOT(ISNUMBER(VLOOKUP(DATE($A$7,$A$9+1-1,C11),Feriados,1,0)))),TRUE,FALSE),FALSE)</f>
        <v>0</v>
      </c>
      <c r="D10" s="10" t="b">
        <f>IFERROR(IF(AND(VLOOKUP(D12,'Días laborables y festivos'!$E$5:$F$11,2,0)="Si",NOT(ISNUMBER(VLOOKUP(DATE($A$7,$A$9+1-1,D11),Feriados,1,0)))),TRUE,FALSE),FALSE)</f>
        <v>0</v>
      </c>
      <c r="E10" s="10" t="b">
        <f>IFERROR(IF(AND(VLOOKUP(E12,'Días laborables y festivos'!$E$5:$F$11,2,0)="Si",NOT(ISNUMBER(VLOOKUP(DATE($A$7,$A$9+1-1,E11),Feriados,1,0)))),TRUE,FALSE),FALSE)</f>
        <v>0</v>
      </c>
      <c r="F10" s="10" t="b">
        <f>IFERROR(IF(AND(VLOOKUP(F12,'Días laborables y festivos'!$E$5:$F$11,2,0)="Si",NOT(ISNUMBER(VLOOKUP(DATE($A$7,$A$9+1-1,F11),Feriados,1,0)))),TRUE,FALSE),FALSE)</f>
        <v>0</v>
      </c>
      <c r="G10" s="10" t="b">
        <f>IFERROR(IF(AND(VLOOKUP(G12,'Días laborables y festivos'!$E$5:$F$11,2,0)="Si",NOT(ISNUMBER(VLOOKUP(DATE($A$7,$A$9+1-1,G11),Feriados,1,0)))),TRUE,FALSE),FALSE)</f>
        <v>0</v>
      </c>
      <c r="H10" s="10" t="b">
        <f>IFERROR(IF(AND(VLOOKUP(H12,'Días laborables y festivos'!$E$5:$F$11,2,0)="Si",NOT(ISNUMBER(VLOOKUP(DATE($A$7,$A$9+1-1,H11),Feriados,1,0)))),TRUE,FALSE),FALSE)</f>
        <v>0</v>
      </c>
      <c r="I10" s="10" t="b">
        <f>IFERROR(IF(AND(VLOOKUP(I12,'Días laborables y festivos'!$E$5:$F$11,2,0)="Si",NOT(ISNUMBER(VLOOKUP(DATE($A$7,$A$9+1-1,I11),Feriados,1,0)))),TRUE,FALSE),FALSE)</f>
        <v>0</v>
      </c>
      <c r="J10" s="10" t="b">
        <f>IFERROR(IF(AND(VLOOKUP(J12,'Días laborables y festivos'!$E$5:$F$11,2,0)="Si",NOT(ISNUMBER(VLOOKUP(DATE($A$7,$A$9+1-1,J11),Feriados,1,0)))),TRUE,FALSE),FALSE)</f>
        <v>0</v>
      </c>
      <c r="K10" s="10" t="b">
        <f>IFERROR(IF(AND(VLOOKUP(K12,'Días laborables y festivos'!$E$5:$F$11,2,0)="Si",NOT(ISNUMBER(VLOOKUP(DATE($A$7,$A$9+1-1,K11),Feriados,1,0)))),TRUE,FALSE),FALSE)</f>
        <v>0</v>
      </c>
      <c r="L10" s="10" t="b">
        <f>IFERROR(IF(AND(VLOOKUP(L12,'Días laborables y festivos'!$E$5:$F$11,2,0)="Si",NOT(ISNUMBER(VLOOKUP(DATE($A$7,$A$9+1-1,L11),Feriados,1,0)))),TRUE,FALSE),FALSE)</f>
        <v>0</v>
      </c>
      <c r="M10" s="10" t="b">
        <f>IFERROR(IF(AND(VLOOKUP(M12,'Días laborables y festivos'!$E$5:$F$11,2,0)="Si",NOT(ISNUMBER(VLOOKUP(DATE($A$7,$A$9+1-1,M11),Feriados,1,0)))),TRUE,FALSE),FALSE)</f>
        <v>0</v>
      </c>
      <c r="N10" s="10" t="b">
        <f>IFERROR(IF(AND(VLOOKUP(N12,'Días laborables y festivos'!$E$5:$F$11,2,0)="Si",NOT(ISNUMBER(VLOOKUP(DATE($A$7,$A$9+1-1,N11),Feriados,1,0)))),TRUE,FALSE),FALSE)</f>
        <v>0</v>
      </c>
      <c r="O10" s="10" t="b">
        <f>IFERROR(IF(AND(VLOOKUP(O12,'Días laborables y festivos'!$E$5:$F$11,2,0)="Si",NOT(ISNUMBER(VLOOKUP(DATE($A$7,$A$9+1-1,O11),Feriados,1,0)))),TRUE,FALSE),FALSE)</f>
        <v>0</v>
      </c>
      <c r="P10" s="10" t="b">
        <f>IFERROR(IF(AND(VLOOKUP(P12,'Días laborables y festivos'!$E$5:$F$11,2,0)="Si",NOT(ISNUMBER(VLOOKUP(DATE($A$7,$A$9+1-1,P11),Feriados,1,0)))),TRUE,FALSE),FALSE)</f>
        <v>0</v>
      </c>
      <c r="Q10" s="10" t="b">
        <f>IFERROR(IF(AND(VLOOKUP(Q12,'Días laborables y festivos'!$E$5:$F$11,2,0)="Si",NOT(ISNUMBER(VLOOKUP(DATE($A$7,$A$9+1-1,Q11),Feriados,1,0)))),TRUE,FALSE),FALSE)</f>
        <v>0</v>
      </c>
      <c r="R10" s="10" t="b">
        <f>IFERROR(IF(AND(VLOOKUP(R12,'Días laborables y festivos'!$E$5:$F$11,2,0)="Si",NOT(ISNUMBER(VLOOKUP(DATE($A$7,$A$9+1-1,R11),Feriados,1,0)))),TRUE,FALSE),FALSE)</f>
        <v>0</v>
      </c>
      <c r="S10" s="10" t="b">
        <f>IFERROR(IF(AND(VLOOKUP(S12,'Días laborables y festivos'!$E$5:$F$11,2,0)="Si",NOT(ISNUMBER(VLOOKUP(DATE($A$7,$A$9+1-1,S11),Feriados,1,0)))),TRUE,FALSE),FALSE)</f>
        <v>0</v>
      </c>
      <c r="T10" s="10" t="b">
        <f>IFERROR(IF(AND(VLOOKUP(T12,'Días laborables y festivos'!$E$5:$F$11,2,0)="Si",NOT(ISNUMBER(VLOOKUP(DATE($A$7,$A$9+1-1,T11),Feriados,1,0)))),TRUE,FALSE),FALSE)</f>
        <v>0</v>
      </c>
      <c r="U10" s="10" t="b">
        <f>IFERROR(IF(AND(VLOOKUP(U12,'Días laborables y festivos'!$E$5:$F$11,2,0)="Si",NOT(ISNUMBER(VLOOKUP(DATE($A$7,$A$9+1-1,U11),Feriados,1,0)))),TRUE,FALSE),FALSE)</f>
        <v>0</v>
      </c>
      <c r="V10" s="10" t="b">
        <f>IFERROR(IF(AND(VLOOKUP(V12,'Días laborables y festivos'!$E$5:$F$11,2,0)="Si",NOT(ISNUMBER(VLOOKUP(DATE($A$7,$A$9+1-1,V11),Feriados,1,0)))),TRUE,FALSE),FALSE)</f>
        <v>0</v>
      </c>
      <c r="W10" s="10" t="b">
        <f>IFERROR(IF(AND(VLOOKUP(W12,'Días laborables y festivos'!$E$5:$F$11,2,0)="Si",NOT(ISNUMBER(VLOOKUP(DATE($A$7,$A$9+1-1,W11),Feriados,1,0)))),TRUE,FALSE),FALSE)</f>
        <v>0</v>
      </c>
      <c r="X10" s="10" t="b">
        <f>IFERROR(IF(AND(VLOOKUP(X12,'Días laborables y festivos'!$E$5:$F$11,2,0)="Si",NOT(ISNUMBER(VLOOKUP(DATE($A$7,$A$9+1-1,X11),Feriados,1,0)))),TRUE,FALSE),FALSE)</f>
        <v>0</v>
      </c>
      <c r="Y10" s="10" t="b">
        <f>IFERROR(IF(AND(VLOOKUP(Y12,'Días laborables y festivos'!$E$5:$F$11,2,0)="Si",NOT(ISNUMBER(VLOOKUP(DATE($A$7,$A$9+1-1,Y11),Feriados,1,0)))),TRUE,FALSE),FALSE)</f>
        <v>0</v>
      </c>
      <c r="Z10" s="10" t="b">
        <f>IFERROR(IF(AND(VLOOKUP(Z12,'Días laborables y festivos'!$E$5:$F$11,2,0)="Si",NOT(ISNUMBER(VLOOKUP(DATE($A$7,$A$9+1-1,Z11),Feriados,1,0)))),TRUE,FALSE),FALSE)</f>
        <v>0</v>
      </c>
      <c r="AA10" s="10" t="b">
        <f>IFERROR(IF(AND(VLOOKUP(AA12,'Días laborables y festivos'!$E$5:$F$11,2,0)="Si",NOT(ISNUMBER(VLOOKUP(DATE($A$7,$A$9+1-1,AA11),Feriados,1,0)))),TRUE,FALSE),FALSE)</f>
        <v>0</v>
      </c>
      <c r="AB10" s="10" t="b">
        <f>IFERROR(IF(AND(VLOOKUP(AB12,'Días laborables y festivos'!$E$5:$F$11,2,0)="Si",NOT(ISNUMBER(VLOOKUP(DATE($A$7,$A$9+1-1,AB11),Feriados,1,0)))),TRUE,FALSE),FALSE)</f>
        <v>0</v>
      </c>
      <c r="AC10" s="10" t="b">
        <f>IFERROR(IF(AND(VLOOKUP(AC12,'Días laborables y festivos'!$E$5:$F$11,2,0)="Si",NOT(ISNUMBER(VLOOKUP(DATE($A$7,$A$9+1-1,AC11),Feriados,1,0)))),TRUE,FALSE),FALSE)</f>
        <v>0</v>
      </c>
      <c r="AD10" s="10" t="b">
        <f>IFERROR(IF(AND(VLOOKUP(AD12,'Días laborables y festivos'!$E$5:$F$11,2,0)="Si",NOT(ISNUMBER(VLOOKUP(DATE($A$7,$A$9+1-1,AD11),Feriados,1,0)))),TRUE,FALSE),FALSE)</f>
        <v>0</v>
      </c>
      <c r="AE10" s="10" t="b">
        <f>IFERROR(IF(AND(VLOOKUP(AE12,'Días laborables y festivos'!$E$5:$F$11,2,0)="Si",NOT(ISNUMBER(VLOOKUP(DATE($A$7,$A$9+1-1,AE11),Feriados,1,0)))),TRUE,FALSE),FALSE)</f>
        <v>0</v>
      </c>
      <c r="AF10" s="10" t="b">
        <f>IFERROR(IF(AND(VLOOKUP(AF12,'Días laborables y festivos'!$E$5:$F$11,2,0)="Si",NOT(ISNUMBER(VLOOKUP(DATE($A$7,$A$9+1-1,AF11),Feriados,1,0)))),TRUE,FALSE),FALSE)</f>
        <v>0</v>
      </c>
      <c r="AG10" s="10" t="b">
        <f>IFERROR(IF(AND(VLOOKUP(AG12,'Días laborables y festivos'!$E$5:$F$11,2,0)="Si",NOT(ISNUMBER(VLOOKUP(DATE($A$7,$A$9+1-1,AG11),Feriados,1,0)))),TRUE,FALSE),FALSE)</f>
        <v>0</v>
      </c>
      <c r="AH10" s="10" t="b">
        <f>IFERROR(IF(AND(VLOOKUP(AH12,'Días laborables y festivos'!$E$5:$F$11,2,0)="Si",NOT(ISNUMBER(VLOOKUP(DATE($A$7,$A$9+1-1,AH11),Feriados,1,0)))),TRUE,FALSE),FALSE)</f>
        <v>0</v>
      </c>
      <c r="AI10" s="10" t="b">
        <f>IFERROR(IF(AND(VLOOKUP(AI12,'Días laborables y festivos'!$E$5:$F$11,2,0)="Si",NOT(ISNUMBER(VLOOKUP(DATE($A$7,$A$9+1-1,AI11),Feriados,1,0)))),TRUE,FALSE),FALSE)</f>
        <v>0</v>
      </c>
      <c r="AJ10" s="10" t="b">
        <f>IFERROR(IF(AND(VLOOKUP(AJ12,'Días laborables y festivos'!$E$5:$F$11,2,0)="Si",NOT(ISNUMBER(VLOOKUP(DATE($A$7,$A$9+1-1,AJ11),Feriados,1,0)))),TRUE,FALSE),FALSE)</f>
        <v>0</v>
      </c>
      <c r="AK10" s="10" t="b">
        <f>IFERROR(IF(AND(VLOOKUP(AK12,'Días laborables y festivos'!$E$5:$F$11,2,0)="Si",NOT(ISNUMBER(VLOOKUP(DATE($A$7,$A$9+1-1,AK11),Feriados,1,0)))),TRUE,FALSE),FALSE)</f>
        <v>0</v>
      </c>
      <c r="AL10" s="10" t="b">
        <f>IFERROR(IF(AND(VLOOKUP(AL12,'Días laborables y festivos'!$E$5:$F$11,2,0)="Si",NOT(ISNUMBER(VLOOKUP(DATE($A$7,$A$9+1-1,AL11),Feriados,1,0)))),TRUE,FALSE),FALSE)</f>
        <v>0</v>
      </c>
      <c r="AM10" s="10" t="b">
        <f>IFERROR(IF(AND(VLOOKUP(AM12,'Días laborables y festivos'!$E$5:$F$11,2,0)="Si",NOT(ISNUMBER(VLOOKUP(DATE($A$7,$A$9+1-1,AM11),Feriados,1,0)))),TRUE,FALSE),FALSE)</f>
        <v>0</v>
      </c>
      <c r="AN10" s="10" t="b">
        <f>IFERROR(IF(AND(VLOOKUP(AN12,'Días laborables y festivos'!$E$5:$F$11,2,0)="Si",NOT(ISNUMBER(VLOOKUP(DATE($A$7,$A$9+1-1,AN11),Feriados,1,0)))),TRUE,FALSE),FALSE)</f>
        <v>0</v>
      </c>
      <c r="AO10" s="10" t="b">
        <f>IFERROR(IF(AND(VLOOKUP(AO12,'Días laborables y festivos'!$E$5:$F$11,2,0)="Si",NOT(ISNUMBER(VLOOKUP(DATE($A$7,$A$9+1-1,AO11),Feriados,1,0)))),TRUE,FALSE),FALSE)</f>
        <v>0</v>
      </c>
      <c r="AP10" s="10" t="b">
        <f>IFERROR(IF(AND(VLOOKUP(AP12,'Días laborables y festivos'!$E$5:$F$11,2,0)="Si",NOT(ISNUMBER(VLOOKUP(DATE($A$7,$A$9+1-1,AP11),Feriados,1,0)))),TRUE,FALSE),FALSE)</f>
        <v>0</v>
      </c>
      <c r="AQ10" s="10" t="b">
        <f>IFERROR(IF(AND(VLOOKUP(AQ12,'Días laborables y festivos'!$E$5:$F$11,2,0)="Si",NOT(ISNUMBER(VLOOKUP(DATE($A$7,$A$9+1-1,AQ11),Feriados,1,0)))),TRUE,FALSE),FALSE)</f>
        <v>0</v>
      </c>
      <c r="AR10" s="10" t="b">
        <f>IFERROR(IF(AND(VLOOKUP(AR12,'Días laborables y festivos'!$E$5:$F$11,2,0)="Si",NOT(ISNUMBER(VLOOKUP(DATE($A$7,$A$9+1-1,AR11),Feriados,1,0)))),TRUE,FALSE),FALSE)</f>
        <v>0</v>
      </c>
      <c r="AS10" s="10" t="b">
        <f>IFERROR(IF(AND(VLOOKUP(AS12,'Días laborables y festivos'!$E$5:$F$11,2,0)="Si",NOT(ISNUMBER(VLOOKUP(DATE($A$7,$A$9+1-1,AS11),Feriados,1,0)))),TRUE,FALSE),FALSE)</f>
        <v>0</v>
      </c>
      <c r="AT10" s="10" t="b">
        <f>IFERROR(IF(AND(VLOOKUP(AT12,'Días laborables y festivos'!$E$5:$F$11,2,0)="Si",NOT(ISNUMBER(VLOOKUP(DATE($A$7,$A$9+1-1,AT11),Feriados,1,0)))),TRUE,FALSE),FALSE)</f>
        <v>0</v>
      </c>
      <c r="AU10" s="10" t="b">
        <f>IFERROR(IF(AND(VLOOKUP(AU12,'Días laborables y festivos'!$E$5:$F$11,2,0)="Si",NOT(ISNUMBER(VLOOKUP(DATE($A$7,$A$9+1-1,AU11),Feriados,1,0)))),TRUE,FALSE),FALSE)</f>
        <v>0</v>
      </c>
      <c r="AV10" s="10" t="b">
        <f>IFERROR(IF(AND(VLOOKUP(AV12,'Días laborables y festivos'!$E$5:$F$11,2,0)="Si",NOT(ISNUMBER(VLOOKUP(DATE($A$7,$A$9+1-1,AV11),Feriados,1,0)))),TRUE,FALSE),FALSE)</f>
        <v>0</v>
      </c>
      <c r="AW10" s="10" t="b">
        <f>IFERROR(IF(AND(VLOOKUP(AW12,'Días laborables y festivos'!$E$5:$F$11,2,0)="Si",NOT(ISNUMBER(VLOOKUP(DATE($A$7,$A$9+1-1,AW11),Feriados,1,0)))),TRUE,FALSE),FALSE)</f>
        <v>0</v>
      </c>
      <c r="AX10" s="10" t="b">
        <f>IFERROR(IF(AND(VLOOKUP(AX12,'Días laborables y festivos'!$E$5:$F$11,2,0)="Si",NOT(ISNUMBER(VLOOKUP(DATE($A$7,$A$9+1-1,AX11),Feriados,1,0)))),TRUE,FALSE),FALSE)</f>
        <v>0</v>
      </c>
      <c r="AY10" s="10" t="b">
        <f>IFERROR(IF(AND(VLOOKUP(AY12,'Días laborables y festivos'!$E$5:$F$11,2,0)="Si",NOT(ISNUMBER(VLOOKUP(DATE($A$7,$A$9+1-1,AY11),Feriados,1,0)))),TRUE,FALSE),FALSE)</f>
        <v>0</v>
      </c>
      <c r="AZ10" s="10" t="b">
        <f>IFERROR(IF(AND(VLOOKUP(AZ12,'Días laborables y festivos'!$E$5:$F$11,2,0)="Si",NOT(ISNUMBER(VLOOKUP(DATE($A$7,$A$9+1-1,AZ11),Feriados,1,0)))),TRUE,FALSE),FALSE)</f>
        <v>0</v>
      </c>
      <c r="BA10" s="10" t="b">
        <f>IFERROR(IF(AND(VLOOKUP(BA12,'Días laborables y festivos'!$E$5:$F$11,2,0)="Si",NOT(ISNUMBER(VLOOKUP(DATE($A$7,$A$9+1-1,BA11),Feriados,1,0)))),TRUE,FALSE),FALSE)</f>
        <v>0</v>
      </c>
      <c r="BB10" s="10" t="b">
        <f>IFERROR(IF(AND(VLOOKUP(BB12,'Días laborables y festivos'!$E$5:$F$11,2,0)="Si",NOT(ISNUMBER(VLOOKUP(DATE($A$7,$A$9+1-1,BB11),Feriados,1,0)))),TRUE,FALSE),FALSE)</f>
        <v>0</v>
      </c>
      <c r="BC10" s="10" t="b">
        <f>IFERROR(IF(AND(VLOOKUP(BC12,'Días laborables y festivos'!$E$5:$F$11,2,0)="Si",NOT(ISNUMBER(VLOOKUP(DATE($A$7,$A$9+1-1,BC11),Feriados,1,0)))),TRUE,FALSE),FALSE)</f>
        <v>0</v>
      </c>
      <c r="BD10" s="10" t="b">
        <f>IFERROR(IF(AND(VLOOKUP(BD12,'Días laborables y festivos'!$E$5:$F$11,2,0)="Si",NOT(ISNUMBER(VLOOKUP(DATE($A$7,$A$9+1-1,BD11),Feriados,1,0)))),TRUE,FALSE),FALSE)</f>
        <v>0</v>
      </c>
      <c r="BE10" s="10" t="b">
        <f>IFERROR(IF(AND(VLOOKUP(BE12,'Días laborables y festivos'!$E$5:$F$11,2,0)="Si",NOT(ISNUMBER(VLOOKUP(DATE($A$7,$A$9+1-1,BE11),Feriados,1,0)))),TRUE,FALSE),FALSE)</f>
        <v>0</v>
      </c>
      <c r="BF10" s="10" t="b">
        <f>IFERROR(IF(AND(VLOOKUP(BF12,'Días laborables y festivos'!$E$5:$F$11,2,0)="Si",NOT(ISNUMBER(VLOOKUP(DATE($A$7,$A$9+1-1,BF11),Feriados,1,0)))),TRUE,FALSE),FALSE)</f>
        <v>0</v>
      </c>
      <c r="BG10" s="10" t="b">
        <f>IFERROR(IF(AND(VLOOKUP(BG12,'Días laborables y festivos'!$E$5:$F$11,2,0)="Si",NOT(ISNUMBER(VLOOKUP(DATE($A$7,$A$9+1-1,BG11),Feriados,1,0)))),TRUE,FALSE),FALSE)</f>
        <v>0</v>
      </c>
      <c r="BH10" s="10" t="b">
        <f>IFERROR(IF(AND(VLOOKUP(BH12,'Días laborables y festivos'!$E$5:$F$11,2,0)="Si",NOT(ISNUMBER(VLOOKUP(DATE($A$7,$A$9+1-1,BH11),Feriados,1,0)))),TRUE,FALSE),FALSE)</f>
        <v>0</v>
      </c>
      <c r="BI10" s="10" t="b">
        <f>IFERROR(IF(AND(VLOOKUP(BI12,'Días laborables y festivos'!$E$5:$F$11,2,0)="Si",NOT(ISNUMBER(VLOOKUP(DATE($A$7,$A$9+1-1,BI11),Feriados,1,0)))),TRUE,FALSE),FALSE)</f>
        <v>0</v>
      </c>
      <c r="BJ10" s="10" t="b">
        <f>IFERROR(IF(AND(VLOOKUP(BJ12,'Días laborables y festivos'!$E$5:$F$11,2,0)="Si",NOT(ISNUMBER(VLOOKUP(DATE($A$7,$A$9+1-1,BJ11),Feriados,1,0)))),TRUE,FALSE),FALSE)</f>
        <v>0</v>
      </c>
      <c r="BK10" s="10" t="b">
        <f>IFERROR(IF(AND(VLOOKUP(BK12,'Días laborables y festivos'!$E$5:$F$11,2,0)="Si",NOT(ISNUMBER(VLOOKUP(DATE($A$7,$A$9+1-1,BK11),Feriados,1,0)))),TRUE,FALSE),FALSE)</f>
        <v>0</v>
      </c>
      <c r="BL10" s="10" t="b">
        <f>IFERROR(IF(AND(VLOOKUP(BL12,'Días laborables y festivos'!$E$5:$F$11,2,0)="Si",NOT(ISNUMBER(VLOOKUP(DATE($A$7,$A$9+1-1,BL11),Feriados,1,0)))),TRUE,FALSE),FALSE)</f>
        <v>0</v>
      </c>
      <c r="BM10" s="10" t="b">
        <f>IFERROR(IF(AND(VLOOKUP(BM12,'Días laborables y festivos'!$E$5:$F$11,2,0)="Si",NOT(ISNUMBER(VLOOKUP(DATE($A$7,$A$9+1-1,BM11),Feriados,1,0)))),TRUE,FALSE),FALSE)</f>
        <v>0</v>
      </c>
      <c r="BN10" s="10" t="b">
        <f>IFERROR(IF(AND(VLOOKUP(BN12,'Días laborables y festivos'!$E$5:$F$11,2,0)="Si",NOT(ISNUMBER(VLOOKUP(DATE($A$7,$A$9+1-1,BN11),Feriados,1,0)))),TRUE,FALSE),FALSE)</f>
        <v>0</v>
      </c>
      <c r="BO10" s="10" t="b">
        <f>IFERROR(IF(AND(VLOOKUP(BO12,'Días laborables y festivos'!$E$5:$F$11,2,0)="Si",NOT(ISNUMBER(VLOOKUP(DATE($A$7,$A$9+1-1,BO11),Feriados,1,0)))),TRUE,FALSE),FALSE)</f>
        <v>0</v>
      </c>
      <c r="BP10" s="10" t="b">
        <f>IFERROR(IF(AND(VLOOKUP(BP12,'Días laborables y festivos'!$E$5:$F$11,2,0)="Si",NOT(ISNUMBER(VLOOKUP(DATE($A$7,$A$9+1-1,BP11),Feriados,1,0)))),TRUE,FALSE),FALSE)</f>
        <v>0</v>
      </c>
      <c r="BQ10" s="10" t="b">
        <f>IFERROR(IF(AND(VLOOKUP(BQ12,'Días laborables y festivos'!$E$5:$F$11,2,0)="Si",NOT(ISNUMBER(VLOOKUP(DATE($A$7,$A$9+1-1,BQ11),Feriados,1,0)))),TRUE,FALSE),FALSE)</f>
        <v>0</v>
      </c>
      <c r="BR10" s="10" t="b">
        <f>IFERROR(IF(AND(VLOOKUP(BR12,'Días laborables y festivos'!$E$5:$F$11,2,0)="Si",NOT(ISNUMBER(VLOOKUP(DATE($A$7,$A$9+1-1,BR11),Feriados,1,0)))),TRUE,FALSE),FALSE)</f>
        <v>0</v>
      </c>
      <c r="BS10" s="10" t="b">
        <f>IFERROR(IF(AND(VLOOKUP(BS12,'Días laborables y festivos'!$E$5:$F$11,2,0)="Si",NOT(ISNUMBER(VLOOKUP(DATE($A$7,$A$9+1-1,BS11),Feriados,1,0)))),TRUE,FALSE),FALSE)</f>
        <v>0</v>
      </c>
      <c r="BT10" s="10" t="b">
        <f>IFERROR(IF(AND(VLOOKUP(BT12,'Días laborables y festivos'!$E$5:$F$11,2,0)="Si",NOT(ISNUMBER(VLOOKUP(DATE($A$7,$A$9+1-1,BT11),Feriados,1,0)))),TRUE,FALSE),FALSE)</f>
        <v>0</v>
      </c>
      <c r="BU10" s="10" t="b">
        <f>IFERROR(IF(AND(VLOOKUP(BU12,'Días laborables y festivos'!$E$5:$F$11,2,0)="Si",NOT(ISNUMBER(VLOOKUP(DATE($A$7,$A$9+1-1,BU11),Feriados,1,0)))),TRUE,FALSE),FALSE)</f>
        <v>0</v>
      </c>
      <c r="BV10" s="10" t="b">
        <f>IFERROR(IF(AND(VLOOKUP(BV12,'Días laborables y festivos'!$E$5:$F$11,2,0)="Si",NOT(ISNUMBER(VLOOKUP(DATE($A$7,$A$9+1-1,BV11),Feriados,1,0)))),TRUE,FALSE),FALSE)</f>
        <v>0</v>
      </c>
      <c r="BW10" s="10" t="b">
        <f>IFERROR(IF(AND(VLOOKUP(BW12,'Días laborables y festivos'!$E$5:$F$11,2,0)="Si",NOT(ISNUMBER(VLOOKUP(DATE($A$7,$A$9+1-1,BW11),Feriados,1,0)))),TRUE,FALSE),FALSE)</f>
        <v>0</v>
      </c>
      <c r="BX10" s="10" t="b">
        <f>IFERROR(IF(AND(VLOOKUP(BX12,'Días laborables y festivos'!$E$5:$F$11,2,0)="Si",NOT(ISNUMBER(VLOOKUP(DATE($A$7,$A$9+1-1,BX11),Feriados,1,0)))),TRUE,FALSE),FALSE)</f>
        <v>0</v>
      </c>
      <c r="BY10" s="10" t="b">
        <f>IFERROR(IF(AND(VLOOKUP(BY12,'Días laborables y festivos'!$E$5:$F$11,2,0)="Si",NOT(ISNUMBER(VLOOKUP(DATE($A$7,$A$9+1-1,BY11),Feriados,1,0)))),TRUE,FALSE),FALSE)</f>
        <v>0</v>
      </c>
      <c r="BZ10" s="10" t="b">
        <f>IFERROR(IF(AND(VLOOKUP(BZ12,'Días laborables y festivos'!$E$5:$F$11,2,0)="Si",NOT(ISNUMBER(VLOOKUP(DATE($A$7,$A$9+1-1,BZ11),Feriados,1,0)))),TRUE,FALSE),FALSE)</f>
        <v>0</v>
      </c>
      <c r="CA10" s="10" t="b">
        <f>IFERROR(IF(AND(VLOOKUP(CA12,'Días laborables y festivos'!$E$5:$F$11,2,0)="Si",NOT(ISNUMBER(VLOOKUP(DATE($A$7,$A$9+1-1,CA11),Feriados,1,0)))),TRUE,FALSE),FALSE)</f>
        <v>0</v>
      </c>
      <c r="CB10" s="10" t="b">
        <f>IFERROR(IF(AND(VLOOKUP(CB12,'Días laborables y festivos'!$E$5:$F$11,2,0)="Si",NOT(ISNUMBER(VLOOKUP(DATE($A$7,$A$9+1-1,CB11),Feriados,1,0)))),TRUE,FALSE),FALSE)</f>
        <v>0</v>
      </c>
      <c r="CC10" s="10" t="b">
        <f>IFERROR(IF(AND(VLOOKUP(CC12,'Días laborables y festivos'!$E$5:$F$11,2,0)="Si",NOT(ISNUMBER(VLOOKUP(DATE($A$7,$A$9+1-1,CC11),Feriados,1,0)))),TRUE,FALSE),FALSE)</f>
        <v>0</v>
      </c>
      <c r="CD10" s="10" t="b">
        <f>IFERROR(IF(AND(VLOOKUP(CD12,'Días laborables y festivos'!$E$5:$F$11,2,0)="Si",NOT(ISNUMBER(VLOOKUP(DATE($A$7,$A$9+1-1,CD11),Feriados,1,0)))),TRUE,FALSE),FALSE)</f>
        <v>0</v>
      </c>
      <c r="CE10" s="10" t="b">
        <f>IFERROR(IF(AND(VLOOKUP(CE12,'Días laborables y festivos'!$E$5:$F$11,2,0)="Si",NOT(ISNUMBER(VLOOKUP(DATE($A$7,$A$9+1-1,CE11),Feriados,1,0)))),TRUE,FALSE),FALSE)</f>
        <v>0</v>
      </c>
      <c r="CF10" s="10" t="b">
        <f>IFERROR(IF(AND(VLOOKUP(CF12,'Días laborables y festivos'!$E$5:$F$11,2,0)="Si",NOT(ISNUMBER(VLOOKUP(DATE($A$7,$A$9+1-1,CF11),Feriados,1,0)))),TRUE,FALSE),FALSE)</f>
        <v>0</v>
      </c>
      <c r="CG10" s="10" t="b">
        <f>IFERROR(IF(AND(VLOOKUP(CG12,'Días laborables y festivos'!$E$5:$F$11,2,0)="Si",NOT(ISNUMBER(VLOOKUP(DATE($A$7,$A$9+1-1,CG11),Feriados,1,0)))),TRUE,FALSE),FALSE)</f>
        <v>0</v>
      </c>
      <c r="CH10" s="10" t="b">
        <f>IFERROR(IF(AND(VLOOKUP(CH12,'Días laborables y festivos'!$E$5:$F$11,2,0)="Si",NOT(ISNUMBER(VLOOKUP(DATE($A$7,$A$9+1-1,CH11),Feriados,1,0)))),TRUE,FALSE),FALSE)</f>
        <v>0</v>
      </c>
      <c r="CI10" s="10" t="b">
        <f>IFERROR(IF(AND(VLOOKUP(CI12,'Días laborables y festivos'!$E$5:$F$11,2,0)="Si",NOT(ISNUMBER(VLOOKUP(DATE($A$7,$A$9+1-1,CI11),Feriados,1,0)))),TRUE,FALSE),FALSE)</f>
        <v>0</v>
      </c>
      <c r="CJ10" s="10" t="b">
        <f>IFERROR(IF(AND(VLOOKUP(CJ12,'Días laborables y festivos'!$E$5:$F$11,2,0)="Si",NOT(ISNUMBER(VLOOKUP(DATE($A$7,$A$9+1-1,CJ11),Feriados,1,0)))),TRUE,FALSE),FALSE)</f>
        <v>0</v>
      </c>
      <c r="CK10" s="10" t="b">
        <f>IFERROR(IF(AND(VLOOKUP(CK12,'Días laborables y festivos'!$E$5:$F$11,2,0)="Si",NOT(ISNUMBER(VLOOKUP(DATE($A$7,$A$9+1-1,CK11),Feriados,1,0)))),TRUE,FALSE),FALSE)</f>
        <v>0</v>
      </c>
      <c r="CL10" s="10" t="b">
        <f>IFERROR(IF(AND(VLOOKUP(CL12,'Días laborables y festivos'!$E$5:$F$11,2,0)="Si",NOT(ISNUMBER(VLOOKUP(DATE($A$7,$A$9+1-1,CL11),Feriados,1,0)))),TRUE,FALSE),FALSE)</f>
        <v>0</v>
      </c>
      <c r="CM10" s="10" t="b">
        <f>IFERROR(IF(AND(VLOOKUP(CM12,'Días laborables y festivos'!$E$5:$F$11,2,0)="Si",NOT(ISNUMBER(VLOOKUP(DATE($A$7,$A$9+1-1,CM11),Feriados,1,0)))),TRUE,FALSE),FALSE)</f>
        <v>0</v>
      </c>
      <c r="CN10" s="10" t="b">
        <f>IFERROR(IF(AND(VLOOKUP(CN12,'Días laborables y festivos'!$E$5:$F$11,2,0)="Si",NOT(ISNUMBER(VLOOKUP(DATE($A$7,$A$9+1-1,CN11),Feriados,1,0)))),TRUE,FALSE),FALSE)</f>
        <v>0</v>
      </c>
      <c r="CO10" s="10" t="b">
        <f>IFERROR(IF(AND(VLOOKUP(CO12,'Días laborables y festivos'!$E$5:$F$11,2,0)="Si",NOT(ISNUMBER(VLOOKUP(DATE($A$7,$A$9+1-1,CO11),Feriados,1,0)))),TRUE,FALSE),FALSE)</f>
        <v>0</v>
      </c>
      <c r="CP10" s="10" t="b">
        <f>IFERROR(IF(AND(VLOOKUP(CP12,'Días laborables y festivos'!$E$5:$F$11,2,0)="Si",NOT(ISNUMBER(VLOOKUP(DATE($A$7,$A$9+1-1,CP11),Feriados,1,0)))),TRUE,FALSE),FALSE)</f>
        <v>0</v>
      </c>
      <c r="CQ10" s="10" t="b">
        <f>IFERROR(IF(AND(VLOOKUP(CQ12,'Días laborables y festivos'!$E$5:$F$11,2,0)="Si",NOT(ISNUMBER(VLOOKUP(DATE($A$7,$A$9+1-1,CQ11),Feriados,1,0)))),TRUE,FALSE),FALSE)</f>
        <v>0</v>
      </c>
      <c r="CR10" s="10" t="b">
        <f>IFERROR(IF(AND(VLOOKUP(CR12,'Días laborables y festivos'!$E$5:$F$11,2,0)="Si",NOT(ISNUMBER(VLOOKUP(DATE($A$7,$A$9+1-1,CR11),Feriados,1,0)))),TRUE,FALSE),FALSE)</f>
        <v>0</v>
      </c>
      <c r="CS10" s="10" t="b">
        <f>IFERROR(IF(AND(VLOOKUP(CS12,'Días laborables y festivos'!$E$5:$F$11,2,0)="Si",NOT(ISNUMBER(VLOOKUP(DATE($A$7,$A$9+1-1,CS11),Feriados,1,0)))),TRUE,FALSE),FALSE)</f>
        <v>0</v>
      </c>
      <c r="CT10" s="10" t="b">
        <f>IFERROR(IF(AND(VLOOKUP(CT12,'Días laborables y festivos'!$E$5:$F$11,2,0)="Si",NOT(ISNUMBER(VLOOKUP(DATE($A$7,$A$9+1-1,CT11),Feriados,1,0)))),TRUE,FALSE),FALSE)</f>
        <v>0</v>
      </c>
      <c r="CU10" s="10" t="b">
        <f>IFERROR(IF(AND(VLOOKUP(CU12,'Días laborables y festivos'!$E$5:$F$11,2,0)="Si",NOT(ISNUMBER(VLOOKUP(DATE($A$7,$A$9+1-1,CU11),Feriados,1,0)))),TRUE,FALSE),FALSE)</f>
        <v>0</v>
      </c>
      <c r="CV10" s="10" t="b">
        <f>IFERROR(IF(AND(VLOOKUP(CV12,'Días laborables y festivos'!$E$5:$F$11,2,0)="Si",NOT(ISNUMBER(VLOOKUP(DATE($A$7,$A$9+1-1,CV11),Feriados,1,0)))),TRUE,FALSE),FALSE)</f>
        <v>0</v>
      </c>
      <c r="CW10" s="10" t="b">
        <f>IFERROR(IF(AND(VLOOKUP(CW12,'Días laborables y festivos'!$E$5:$F$11,2,0)="Si",NOT(ISNUMBER(VLOOKUP(DATE($A$7,$A$9+1-1,CW11),Feriados,1,0)))),TRUE,FALSE),FALSE)</f>
        <v>0</v>
      </c>
      <c r="CX10" s="10" t="b">
        <f>IFERROR(IF(AND(VLOOKUP(CX12,'Días laborables y festivos'!$E$5:$F$11,2,0)="Si",NOT(ISNUMBER(VLOOKUP(DATE($A$7,$A$9+1-1,CX11),Feriados,1,0)))),TRUE,FALSE),FALSE)</f>
        <v>0</v>
      </c>
      <c r="CY10" s="10" t="b">
        <f>IFERROR(IF(AND(VLOOKUP(CY12,'Días laborables y festivos'!$E$5:$F$11,2,0)="Si",NOT(ISNUMBER(VLOOKUP(DATE($A$7,$A$9+1-1,CY11),Feriados,1,0)))),TRUE,FALSE),FALSE)</f>
        <v>0</v>
      </c>
      <c r="CZ10" s="10" t="b">
        <f>IFERROR(IF(AND(VLOOKUP(CZ12,'Días laborables y festivos'!$E$5:$F$11,2,0)="Si",NOT(ISNUMBER(VLOOKUP(DATE($A$7,$A$9+1-1,CZ11),Feriados,1,0)))),TRUE,FALSE),FALSE)</f>
        <v>0</v>
      </c>
      <c r="DA10" s="10" t="b">
        <f>IFERROR(IF(AND(VLOOKUP(DA12,'Días laborables y festivos'!$E$5:$F$11,2,0)="Si",NOT(ISNUMBER(VLOOKUP(DATE($A$7,$A$9+1-1,DA11),Feriados,1,0)))),TRUE,FALSE),FALSE)</f>
        <v>0</v>
      </c>
      <c r="DB10" s="10" t="b">
        <f>IFERROR(IF(AND(VLOOKUP(DB12,'Días laborables y festivos'!$E$5:$F$11,2,0)="Si",NOT(ISNUMBER(VLOOKUP(DATE($A$7,$A$9+1-1,DB11),Feriados,1,0)))),TRUE,FALSE),FALSE)</f>
        <v>0</v>
      </c>
      <c r="DC10" s="10" t="b">
        <f>IFERROR(IF(AND(VLOOKUP(DC12,'Días laborables y festivos'!$E$5:$F$11,2,0)="Si",NOT(ISNUMBER(VLOOKUP(DATE($A$7,$A$9+1-1,DC11),Feriados,1,0)))),TRUE,FALSE),FALSE)</f>
        <v>0</v>
      </c>
      <c r="DD10" s="10" t="b">
        <f>IFERROR(IF(AND(VLOOKUP(DD12,'Días laborables y festivos'!$E$5:$F$11,2,0)="Si",NOT(ISNUMBER(VLOOKUP(DATE($A$7,$A$9+1-1,DD11),Feriados,1,0)))),TRUE,FALSE),FALSE)</f>
        <v>0</v>
      </c>
      <c r="DE10" s="10" t="b">
        <f>IFERROR(IF(AND(VLOOKUP(DE12,'Días laborables y festivos'!$E$5:$F$11,2,0)="Si",NOT(ISNUMBER(VLOOKUP(DATE($A$7,$A$9+1-1,DE11),Feriados,1,0)))),TRUE,FALSE),FALSE)</f>
        <v>0</v>
      </c>
      <c r="DF10" s="10" t="b">
        <f>IFERROR(IF(AND(VLOOKUP(DF12,'Días laborables y festivos'!$E$5:$F$11,2,0)="Si",NOT(ISNUMBER(VLOOKUP(DATE($A$7,$A$9+1-1,DF11),Feriados,1,0)))),TRUE,FALSE),FALSE)</f>
        <v>0</v>
      </c>
      <c r="DG10" s="10" t="b">
        <f>IFERROR(IF(AND(VLOOKUP(DG12,'Días laborables y festivos'!$E$5:$F$11,2,0)="Si",NOT(ISNUMBER(VLOOKUP(DATE($A$7,$A$9+1-1,DG11),Feriados,1,0)))),TRUE,FALSE),FALSE)</f>
        <v>0</v>
      </c>
      <c r="DH10" s="10" t="b">
        <f>IFERROR(IF(AND(VLOOKUP(DH12,'Días laborables y festivos'!$E$5:$F$11,2,0)="Si",NOT(ISNUMBER(VLOOKUP(DATE($A$7,$A$9+1-1,DH11),Feriados,1,0)))),TRUE,FALSE),FALSE)</f>
        <v>0</v>
      </c>
      <c r="DI10" s="10" t="b">
        <f>IFERROR(IF(AND(VLOOKUP(DI12,'Días laborables y festivos'!$E$5:$F$11,2,0)="Si",NOT(ISNUMBER(VLOOKUP(DATE($A$7,$A$9+1-1,DI11),Feriados,1,0)))),TRUE,FALSE),FALSE)</f>
        <v>0</v>
      </c>
      <c r="DJ10" s="10" t="b">
        <f>IFERROR(IF(AND(VLOOKUP(DJ12,'Días laborables y festivos'!$E$5:$F$11,2,0)="Si",NOT(ISNUMBER(VLOOKUP(DATE($A$7,$A$9+1-1,DJ11),Feriados,1,0)))),TRUE,FALSE),FALSE)</f>
        <v>0</v>
      </c>
      <c r="DK10" s="10" t="b">
        <f>IFERROR(IF(AND(VLOOKUP(DK12,'Días laborables y festivos'!$E$5:$F$11,2,0)="Si",NOT(ISNUMBER(VLOOKUP(DATE($A$7,$A$9+1-1,DK11),Feriados,1,0)))),TRUE,FALSE),FALSE)</f>
        <v>0</v>
      </c>
      <c r="DL10" s="10" t="b">
        <f>IFERROR(IF(AND(VLOOKUP(DL12,'Días laborables y festivos'!$E$5:$F$11,2,0)="Si",NOT(ISNUMBER(VLOOKUP(DATE($A$7,$A$9+1-1,DL11),Feriados,1,0)))),TRUE,FALSE),FALSE)</f>
        <v>0</v>
      </c>
      <c r="DM10" s="10" t="b">
        <f>IFERROR(IF(AND(VLOOKUP(DM12,'Días laborables y festivos'!$E$5:$F$11,2,0)="Si",NOT(ISNUMBER(VLOOKUP(DATE($A$7,$A$9+1-1,DM11),Feriados,1,0)))),TRUE,FALSE),FALSE)</f>
        <v>0</v>
      </c>
      <c r="DN10" s="10" t="b">
        <f>IFERROR(IF(AND(VLOOKUP(DN12,'Días laborables y festivos'!$E$5:$F$11,2,0)="Si",NOT(ISNUMBER(VLOOKUP(DATE($A$7,$A$9+1-1,DN11),Feriados,1,0)))),TRUE,FALSE),FALSE)</f>
        <v>0</v>
      </c>
      <c r="DO10" s="10" t="b">
        <f>IFERROR(IF(AND(VLOOKUP(DO12,'Días laborables y festivos'!$E$5:$F$11,2,0)="Si",NOT(ISNUMBER(VLOOKUP(DATE($A$7,$A$9+1-1,DO11),Feriados,1,0)))),TRUE,FALSE),FALSE)</f>
        <v>0</v>
      </c>
      <c r="DP10" s="10" t="b">
        <f>IFERROR(IF(AND(VLOOKUP(DP12,'Días laborables y festivos'!$E$5:$F$11,2,0)="Si",NOT(ISNUMBER(VLOOKUP(DATE($A$7,$A$9+1-1,DP11),Feriados,1,0)))),TRUE,FALSE),FALSE)</f>
        <v>0</v>
      </c>
      <c r="DQ10" s="10" t="b">
        <f>IFERROR(IF(AND(VLOOKUP(DQ12,'Días laborables y festivos'!$E$5:$F$11,2,0)="Si",NOT(ISNUMBER(VLOOKUP(DATE($A$7,$A$9+1-1,DQ11),Feriados,1,0)))),TRUE,FALSE),FALSE)</f>
        <v>0</v>
      </c>
      <c r="DR10" s="10" t="b">
        <f>IFERROR(IF(AND(VLOOKUP(DR12,'Días laborables y festivos'!$E$5:$F$11,2,0)="Si",NOT(ISNUMBER(VLOOKUP(DATE($A$7,$A$9+1-1,DR11),Feriados,1,0)))),TRUE,FALSE),FALSE)</f>
        <v>0</v>
      </c>
      <c r="DS10" s="10" t="b">
        <f>IFERROR(IF(AND(VLOOKUP(DS12,'Días laborables y festivos'!$E$5:$F$11,2,0)="Si",NOT(ISNUMBER(VLOOKUP(DATE($A$7,$A$9+1-1,DS11),Feriados,1,0)))),TRUE,FALSE),FALSE)</f>
        <v>0</v>
      </c>
      <c r="DT10" s="10" t="b">
        <f>IFERROR(IF(AND(VLOOKUP(DT12,'Días laborables y festivos'!$E$5:$F$11,2,0)="Si",NOT(ISNUMBER(VLOOKUP(DATE($A$7,$A$9+1-1,DT11),Feriados,1,0)))),TRUE,FALSE),FALSE)</f>
        <v>0</v>
      </c>
      <c r="DU10" s="10" t="b">
        <f>IFERROR(IF(AND(VLOOKUP(DU12,'Días laborables y festivos'!$E$5:$F$11,2,0)="Si",NOT(ISNUMBER(VLOOKUP(DATE($A$7,$A$9+1-1,DU11),Feriados,1,0)))),TRUE,FALSE),FALSE)</f>
        <v>0</v>
      </c>
      <c r="DV10" s="10" t="b">
        <f>IFERROR(IF(AND(VLOOKUP(DV12,'Días laborables y festivos'!$E$5:$F$11,2,0)="Si",NOT(ISNUMBER(VLOOKUP(DATE($A$7,$A$9+1-1,DV11),Feriados,1,0)))),TRUE,FALSE),FALSE)</f>
        <v>0</v>
      </c>
      <c r="DW10" s="10" t="b">
        <f>IFERROR(IF(AND(VLOOKUP(DW12,'Días laborables y festivos'!$E$5:$F$11,2,0)="Si",NOT(ISNUMBER(VLOOKUP(DATE($A$7,$A$9+1-1,DW11),Feriados,1,0)))),TRUE,FALSE),FALSE)</f>
        <v>0</v>
      </c>
      <c r="DX10" s="10" t="b">
        <f>IFERROR(IF(AND(VLOOKUP(DX12,'Días laborables y festivos'!$E$5:$F$11,2,0)="Si",NOT(ISNUMBER(VLOOKUP(DATE($A$7,$A$9+1-1,DX11),Feriados,1,0)))),TRUE,FALSE),FALSE)</f>
        <v>0</v>
      </c>
      <c r="DY10" s="10" t="b">
        <f>IFERROR(IF(AND(VLOOKUP(DY12,'Días laborables y festivos'!$E$5:$F$11,2,0)="Si",NOT(ISNUMBER(VLOOKUP(DATE($A$7,$A$9+1-1,DY11),Feriados,1,0)))),TRUE,FALSE),FALSE)</f>
        <v>0</v>
      </c>
      <c r="DZ10" s="10" t="b">
        <f>IFERROR(IF(AND(VLOOKUP(DZ12,'Días laborables y festivos'!$E$5:$F$11,2,0)="Si",NOT(ISNUMBER(VLOOKUP(DATE($A$7,$A$9+1-1,DZ11),Feriados,1,0)))),TRUE,FALSE),FALSE)</f>
        <v>0</v>
      </c>
      <c r="EA10" s="10" t="b">
        <f>IFERROR(IF(AND(VLOOKUP(EA12,'Días laborables y festivos'!$E$5:$F$11,2,0)="Si",NOT(ISNUMBER(VLOOKUP(DATE($A$7,$A$9+1-1,EA11),Feriados,1,0)))),TRUE,FALSE),FALSE)</f>
        <v>0</v>
      </c>
      <c r="EB10" s="10" t="b">
        <f>IFERROR(IF(AND(VLOOKUP(EB12,'Días laborables y festivos'!$E$5:$F$11,2,0)="Si",NOT(ISNUMBER(VLOOKUP(DATE($A$7,$A$9+1-1,EB11),Feriados,1,0)))),TRUE,FALSE),FALSE)</f>
        <v>0</v>
      </c>
      <c r="EC10" s="10" t="b">
        <f>IFERROR(IF(AND(VLOOKUP(EC12,'Días laborables y festivos'!$E$5:$F$11,2,0)="Si",NOT(ISNUMBER(VLOOKUP(DATE($A$7,$A$9+1-1,EC11),Feriados,1,0)))),TRUE,FALSE),FALSE)</f>
        <v>0</v>
      </c>
      <c r="ED10" s="10" t="b">
        <f>IFERROR(IF(AND(VLOOKUP(ED12,'Días laborables y festivos'!$E$5:$F$11,2,0)="Si",NOT(ISNUMBER(VLOOKUP(DATE($A$7,$A$9+1-1,ED11),Feriados,1,0)))),TRUE,FALSE),FALSE)</f>
        <v>0</v>
      </c>
      <c r="EE10" s="10" t="b">
        <f>IFERROR(IF(AND(VLOOKUP(EE12,'Días laborables y festivos'!$E$5:$F$11,2,0)="Si",NOT(ISNUMBER(VLOOKUP(DATE($A$7,$A$9+1-1,EE11),Feriados,1,0)))),TRUE,FALSE),FALSE)</f>
        <v>0</v>
      </c>
      <c r="EF10" s="10" t="b">
        <f>IFERROR(IF(AND(VLOOKUP(EF12,'Días laborables y festivos'!$E$5:$F$11,2,0)="Si",NOT(ISNUMBER(VLOOKUP(DATE($A$7,$A$9+1-1,EF11),Feriados,1,0)))),TRUE,FALSE),FALSE)</f>
        <v>0</v>
      </c>
      <c r="EG10" s="10" t="b">
        <f>IFERROR(IF(AND(VLOOKUP(EG12,'Días laborables y festivos'!$E$5:$F$11,2,0)="Si",NOT(ISNUMBER(VLOOKUP(DATE($A$7,$A$9+1-1,EG11),Feriados,1,0)))),TRUE,FALSE),FALSE)</f>
        <v>0</v>
      </c>
      <c r="EH10" s="10" t="b">
        <f>IFERROR(IF(AND(VLOOKUP(EH12,'Días laborables y festivos'!$E$5:$F$11,2,0)="Si",NOT(ISNUMBER(VLOOKUP(DATE($A$7,$A$9+1-1,EH11),Feriados,1,0)))),TRUE,FALSE),FALSE)</f>
        <v>0</v>
      </c>
      <c r="EI10" s="10" t="b">
        <f>IFERROR(IF(AND(VLOOKUP(EI12,'Días laborables y festivos'!$E$5:$F$11,2,0)="Si",NOT(ISNUMBER(VLOOKUP(DATE($A$7,$A$9+1-1,EI11),Feriados,1,0)))),TRUE,FALSE),FALSE)</f>
        <v>0</v>
      </c>
      <c r="EJ10" s="10" t="b">
        <f>IFERROR(IF(AND(VLOOKUP(EJ12,'Días laborables y festivos'!$E$5:$F$11,2,0)="Si",NOT(ISNUMBER(VLOOKUP(DATE($A$7,$A$9+1-1,EJ11),Feriados,1,0)))),TRUE,FALSE),FALSE)</f>
        <v>0</v>
      </c>
      <c r="EK10" s="10" t="b">
        <f>IFERROR(IF(AND(VLOOKUP(EK12,'Días laborables y festivos'!$E$5:$F$11,2,0)="Si",NOT(ISNUMBER(VLOOKUP(DATE($A$7,$A$9+1-1,EK11),Feriados,1,0)))),TRUE,FALSE),FALSE)</f>
        <v>0</v>
      </c>
      <c r="EL10" s="10" t="b">
        <f>IFERROR(IF(AND(VLOOKUP(EL12,'Días laborables y festivos'!$E$5:$F$11,2,0)="Si",NOT(ISNUMBER(VLOOKUP(DATE($A$7,$A$9+1-1,EL11),Feriados,1,0)))),TRUE,FALSE),FALSE)</f>
        <v>0</v>
      </c>
      <c r="EM10" s="10" t="b">
        <f>IFERROR(IF(AND(VLOOKUP(EM12,'Días laborables y festivos'!$E$5:$F$11,2,0)="Si",NOT(ISNUMBER(VLOOKUP(DATE($A$7,$A$9+1-1,EM11),Feriados,1,0)))),TRUE,FALSE),FALSE)</f>
        <v>0</v>
      </c>
      <c r="EN10" s="10" t="b">
        <f>IFERROR(IF(AND(VLOOKUP(EN12,'Días laborables y festivos'!$E$5:$F$11,2,0)="Si",NOT(ISNUMBER(VLOOKUP(DATE($A$7,$A$9+1-1,EN11),Feriados,1,0)))),TRUE,FALSE),FALSE)</f>
        <v>0</v>
      </c>
      <c r="EO10" s="10" t="b">
        <f>IFERROR(IF(AND(VLOOKUP(EO12,'Días laborables y festivos'!$E$5:$F$11,2,0)="Si",NOT(ISNUMBER(VLOOKUP(DATE($A$7,$A$9+1-1,EO11),Feriados,1,0)))),TRUE,FALSE),FALSE)</f>
        <v>0</v>
      </c>
      <c r="EP10" s="10" t="b">
        <f>IFERROR(IF(AND(VLOOKUP(EP12,'Días laborables y festivos'!$E$5:$F$11,2,0)="Si",NOT(ISNUMBER(VLOOKUP(DATE($A$7,$A$9+1-1,EP11),Feriados,1,0)))),TRUE,FALSE),FALSE)</f>
        <v>0</v>
      </c>
      <c r="EQ10" s="10" t="b">
        <f>IFERROR(IF(AND(VLOOKUP(EQ12,'Días laborables y festivos'!$E$5:$F$11,2,0)="Si",NOT(ISNUMBER(VLOOKUP(DATE($A$7,$A$9+1-1,EQ11),Feriados,1,0)))),TRUE,FALSE),FALSE)</f>
        <v>0</v>
      </c>
      <c r="ER10" s="10" t="b">
        <f>IFERROR(IF(AND(VLOOKUP(ER12,'Días laborables y festivos'!$E$5:$F$11,2,0)="Si",NOT(ISNUMBER(VLOOKUP(DATE($A$7,$A$9+1-1,ER11),Feriados,1,0)))),TRUE,FALSE),FALSE)</f>
        <v>0</v>
      </c>
      <c r="ES10" s="10" t="b">
        <f>IFERROR(IF(AND(VLOOKUP(ES12,'Días laborables y festivos'!$E$5:$F$11,2,0)="Si",NOT(ISNUMBER(VLOOKUP(DATE($A$7,$A$9+1-1,ES11),Feriados,1,0)))),TRUE,FALSE),FALSE)</f>
        <v>0</v>
      </c>
      <c r="ET10" s="10" t="b">
        <f>IFERROR(IF(AND(VLOOKUP(ET12,'Días laborables y festivos'!$E$5:$F$11,2,0)="Si",NOT(ISNUMBER(VLOOKUP(DATE($A$7,$A$9+1-1,ET11),Feriados,1,0)))),TRUE,FALSE),FALSE)</f>
        <v>0</v>
      </c>
      <c r="EU10" s="10" t="b">
        <f>IFERROR(IF(AND(VLOOKUP(EU12,'Días laborables y festivos'!$E$5:$F$11,2,0)="Si",NOT(ISNUMBER(VLOOKUP(DATE($A$7,$A$9+1-1,EU11),Feriados,1,0)))),TRUE,FALSE),FALSE)</f>
        <v>0</v>
      </c>
      <c r="EV10" s="10" t="b">
        <f>IFERROR(IF(AND(VLOOKUP(EV12,'Días laborables y festivos'!$E$5:$F$11,2,0)="Si",NOT(ISNUMBER(VLOOKUP(DATE($A$7,$A$9+1-1,EV11),Feriados,1,0)))),TRUE,FALSE),FALSE)</f>
        <v>0</v>
      </c>
      <c r="EW10" s="10" t="b">
        <f>IFERROR(IF(AND(VLOOKUP(EW12,'Días laborables y festivos'!$E$5:$F$11,2,0)="Si",NOT(ISNUMBER(VLOOKUP(DATE($A$7,$A$9+1-1,EW11),Feriados,1,0)))),TRUE,FALSE),FALSE)</f>
        <v>0</v>
      </c>
      <c r="EX10" s="10" t="b">
        <f>IFERROR(IF(AND(VLOOKUP(EX12,'Días laborables y festivos'!$E$5:$F$11,2,0)="Si",NOT(ISNUMBER(VLOOKUP(DATE($A$7,$A$9+1-1,EX11),Feriados,1,0)))),TRUE,FALSE),FALSE)</f>
        <v>0</v>
      </c>
      <c r="EY10" s="10" t="b">
        <f>IFERROR(IF(AND(VLOOKUP(EY12,'Días laborables y festivos'!$E$5:$F$11,2,0)="Si",NOT(ISNUMBER(VLOOKUP(DATE($A$7,$A$9+1-1,EY11),Feriados,1,0)))),TRUE,FALSE),FALSE)</f>
        <v>0</v>
      </c>
      <c r="EZ10" s="10" t="b">
        <f>IFERROR(IF(AND(VLOOKUP(EZ12,'Días laborables y festivos'!$E$5:$F$11,2,0)="Si",NOT(ISNUMBER(VLOOKUP(DATE($A$7,$A$9+1-1,EZ11),Feriados,1,0)))),TRUE,FALSE),FALSE)</f>
        <v>0</v>
      </c>
      <c r="FA10" s="10" t="b">
        <f>IFERROR(IF(AND(VLOOKUP(FA12,'Días laborables y festivos'!$E$5:$F$11,2,0)="Si",NOT(ISNUMBER(VLOOKUP(DATE($A$7,$A$9+1-1,FA11),Feriados,1,0)))),TRUE,FALSE),FALSE)</f>
        <v>0</v>
      </c>
      <c r="FB10" s="10" t="b">
        <f>IFERROR(IF(AND(VLOOKUP(FB12,'Días laborables y festivos'!$E$5:$F$11,2,0)="Si",NOT(ISNUMBER(VLOOKUP(DATE($A$7,$A$9+1-1,FB11),Feriados,1,0)))),TRUE,FALSE),FALSE)</f>
        <v>0</v>
      </c>
      <c r="FC10" s="10" t="b">
        <f>IFERROR(IF(AND(VLOOKUP(FC12,'Días laborables y festivos'!$E$5:$F$11,2,0)="Si",NOT(ISNUMBER(VLOOKUP(DATE($A$7,$A$9+1-1,FC11),Feriados,1,0)))),TRUE,FALSE),FALSE)</f>
        <v>0</v>
      </c>
      <c r="FD10" s="10" t="b">
        <f>IFERROR(IF(AND(VLOOKUP(FD12,'Días laborables y festivos'!$E$5:$F$11,2,0)="Si",NOT(ISNUMBER(VLOOKUP(DATE($A$7,$A$9+1-1,FD11),Feriados,1,0)))),TRUE,FALSE),FALSE)</f>
        <v>0</v>
      </c>
      <c r="FE10" s="10" t="b">
        <f>IFERROR(IF(AND(VLOOKUP(FE12,'Días laborables y festivos'!$E$5:$F$11,2,0)="Si",NOT(ISNUMBER(VLOOKUP(DATE($A$7,$A$9+1-1,FE11),Feriados,1,0)))),TRUE,FALSE),FALSE)</f>
        <v>0</v>
      </c>
      <c r="FF10" s="10" t="b">
        <f>IFERROR(IF(AND(VLOOKUP(FF12,'Días laborables y festivos'!$E$5:$F$11,2,0)="Si",NOT(ISNUMBER(VLOOKUP(DATE($A$7,$A$9+1-1,FF11),Feriados,1,0)))),TRUE,FALSE),FALSE)</f>
        <v>0</v>
      </c>
      <c r="FG10" s="10" t="b">
        <f>IFERROR(IF(AND(VLOOKUP(FG12,'Días laborables y festivos'!$E$5:$F$11,2,0)="Si",NOT(ISNUMBER(VLOOKUP(DATE($A$7,$A$9+1-1,FG11),Feriados,1,0)))),TRUE,FALSE),FALSE)</f>
        <v>0</v>
      </c>
      <c r="FH10" s="10" t="b">
        <f>IFERROR(IF(AND(VLOOKUP(FH12,'Días laborables y festivos'!$E$5:$F$11,2,0)="Si",NOT(ISNUMBER(VLOOKUP(DATE($A$7,$A$9+1-1,FH11),Feriados,1,0)))),TRUE,FALSE),FALSE)</f>
        <v>0</v>
      </c>
      <c r="FI10" s="10" t="b">
        <f>IFERROR(IF(AND(VLOOKUP(FI12,'Días laborables y festivos'!$E$5:$F$11,2,0)="Si",NOT(ISNUMBER(VLOOKUP(DATE($A$7,$A$9+1-1,FI11),Feriados,1,0)))),TRUE,FALSE),FALSE)</f>
        <v>0</v>
      </c>
      <c r="FJ10" s="10" t="b">
        <f>IFERROR(IF(AND(VLOOKUP(FJ12,'Días laborables y festivos'!$E$5:$F$11,2,0)="Si",NOT(ISNUMBER(VLOOKUP(DATE($A$7,$A$9+1-1,FJ11),Feriados,1,0)))),TRUE,FALSE),FALSE)</f>
        <v>0</v>
      </c>
      <c r="FK10" s="10" t="b">
        <f>IFERROR(IF(AND(VLOOKUP(FK12,'Días laborables y festivos'!$E$5:$F$11,2,0)="Si",NOT(ISNUMBER(VLOOKUP(DATE($A$7,$A$9+1-1,FK11),Feriados,1,0)))),TRUE,FALSE),FALSE)</f>
        <v>0</v>
      </c>
      <c r="FL10" s="10" t="b">
        <f>IFERROR(IF(AND(VLOOKUP(FL12,'Días laborables y festivos'!$E$5:$F$11,2,0)="Si",NOT(ISNUMBER(VLOOKUP(DATE($A$7,$A$9+1-1,FL11),Feriados,1,0)))),TRUE,FALSE),FALSE)</f>
        <v>0</v>
      </c>
      <c r="FM10" s="10" t="b">
        <f>IFERROR(IF(AND(VLOOKUP(FM12,'Días laborables y festivos'!$E$5:$F$11,2,0)="Si",NOT(ISNUMBER(VLOOKUP(DATE($A$7,$A$9+1-1,FM11),Feriados,1,0)))),TRUE,FALSE),FALSE)</f>
        <v>0</v>
      </c>
      <c r="FN10" s="10" t="b">
        <f>IFERROR(IF(AND(VLOOKUP(FN12,'Días laborables y festivos'!$E$5:$F$11,2,0)="Si",NOT(ISNUMBER(VLOOKUP(DATE($A$7,$A$9+1-1,FN11),Feriados,1,0)))),TRUE,FALSE),FALSE)</f>
        <v>0</v>
      </c>
      <c r="FO10" s="10" t="b">
        <f>IFERROR(IF(AND(VLOOKUP(FO12,'Días laborables y festivos'!$E$5:$F$11,2,0)="Si",NOT(ISNUMBER(VLOOKUP(DATE($A$7,$A$9+1-1,FO11),Feriados,1,0)))),TRUE,FALSE),FALSE)</f>
        <v>0</v>
      </c>
      <c r="FP10" s="10" t="b">
        <f>IFERROR(IF(AND(VLOOKUP(FP12,'Días laborables y festivos'!$E$5:$F$11,2,0)="Si",NOT(ISNUMBER(VLOOKUP(DATE($A$7,$A$9+1-1,FP11),Feriados,1,0)))),TRUE,FALSE),FALSE)</f>
        <v>0</v>
      </c>
      <c r="FQ10" s="10" t="b">
        <f>IFERROR(IF(AND(VLOOKUP(FQ12,'Días laborables y festivos'!$E$5:$F$11,2,0)="Si",NOT(ISNUMBER(VLOOKUP(DATE($A$7,$A$9+1-1,FQ11),Feriados,1,0)))),TRUE,FALSE),FALSE)</f>
        <v>0</v>
      </c>
      <c r="FR10" s="10" t="b">
        <f>IFERROR(IF(AND(VLOOKUP(FR12,'Días laborables y festivos'!$E$5:$F$11,2,0)="Si",NOT(ISNUMBER(VLOOKUP(DATE($A$7,$A$9+1-1,FR11),Feriados,1,0)))),TRUE,FALSE),FALSE)</f>
        <v>0</v>
      </c>
      <c r="FS10" s="10" t="b">
        <f>IFERROR(IF(AND(VLOOKUP(FS12,'Días laborables y festivos'!$E$5:$F$11,2,0)="Si",NOT(ISNUMBER(VLOOKUP(DATE($A$7,$A$9+1-1,FS11),Feriados,1,0)))),TRUE,FALSE),FALSE)</f>
        <v>0</v>
      </c>
      <c r="FT10" s="10" t="b">
        <f>IFERROR(IF(AND(VLOOKUP(FT12,'Días laborables y festivos'!$E$5:$F$11,2,0)="Si",NOT(ISNUMBER(VLOOKUP(DATE($A$7,$A$9+1-1,FT11),Feriados,1,0)))),TRUE,FALSE),FALSE)</f>
        <v>0</v>
      </c>
      <c r="FU10" s="10" t="b">
        <f>IFERROR(IF(AND(VLOOKUP(FU12,'Días laborables y festivos'!$E$5:$F$11,2,0)="Si",NOT(ISNUMBER(VLOOKUP(DATE($A$7,$A$9+1-1,FU11),Feriados,1,0)))),TRUE,FALSE),FALSE)</f>
        <v>0</v>
      </c>
      <c r="FV10" s="10" t="b">
        <f>IFERROR(IF(AND(VLOOKUP(FV12,'Días laborables y festivos'!$E$5:$F$11,2,0)="Si",NOT(ISNUMBER(VLOOKUP(DATE($A$7,$A$9+1-1,FV11),Feriados,1,0)))),TRUE,FALSE),FALSE)</f>
        <v>0</v>
      </c>
      <c r="FW10" s="10" t="b">
        <f>IFERROR(IF(AND(VLOOKUP(FW12,'Días laborables y festivos'!$E$5:$F$11,2,0)="Si",NOT(ISNUMBER(VLOOKUP(DATE($A$7,$A$9+1-1,FW11),Feriados,1,0)))),TRUE,FALSE),FALSE)</f>
        <v>0</v>
      </c>
      <c r="FX10" s="10" t="b">
        <f>IFERROR(IF(AND(VLOOKUP(FX12,'Días laborables y festivos'!$E$5:$F$11,2,0)="Si",NOT(ISNUMBER(VLOOKUP(DATE($A$7,$A$9+1-1,FX11),Feriados,1,0)))),TRUE,FALSE),FALSE)</f>
        <v>0</v>
      </c>
      <c r="FY10" s="10" t="b">
        <f>IFERROR(IF(AND(VLOOKUP(FY12,'Días laborables y festivos'!$E$5:$F$11,2,0)="Si",NOT(ISNUMBER(VLOOKUP(DATE($A$7,$A$9+1-1,FY11),Feriados,1,0)))),TRUE,FALSE),FALSE)</f>
        <v>0</v>
      </c>
      <c r="FZ10" s="10" t="b">
        <f>IFERROR(IF(AND(VLOOKUP(FZ12,'Días laborables y festivos'!$E$5:$F$11,2,0)="Si",NOT(ISNUMBER(VLOOKUP(DATE($A$7,$A$9+1-1,FZ11),Feriados,1,0)))),TRUE,FALSE),FALSE)</f>
        <v>0</v>
      </c>
      <c r="GA10" s="10" t="b">
        <f>IFERROR(IF(AND(VLOOKUP(GA12,'Días laborables y festivos'!$E$5:$F$11,2,0)="Si",NOT(ISNUMBER(VLOOKUP(DATE($A$7,$A$9+1-1,GA11),Feriados,1,0)))),TRUE,FALSE),FALSE)</f>
        <v>0</v>
      </c>
      <c r="GB10" s="10" t="b">
        <f>IFERROR(IF(AND(VLOOKUP(GB12,'Días laborables y festivos'!$E$5:$F$11,2,0)="Si",NOT(ISNUMBER(VLOOKUP(DATE($A$7,$A$9+1-1,GB11),Feriados,1,0)))),TRUE,FALSE),FALSE)</f>
        <v>0</v>
      </c>
      <c r="GC10" s="10" t="b">
        <f>IFERROR(IF(AND(VLOOKUP(GC12,'Días laborables y festivos'!$E$5:$F$11,2,0)="Si",NOT(ISNUMBER(VLOOKUP(DATE($A$7,$A$9+1-1,GC11),Feriados,1,0)))),TRUE,FALSE),FALSE)</f>
        <v>0</v>
      </c>
      <c r="GD10" s="10" t="b">
        <f>IFERROR(IF(AND(VLOOKUP(GD12,'Días laborables y festivos'!$E$5:$F$11,2,0)="Si",NOT(ISNUMBER(VLOOKUP(DATE($A$7,$A$9+1-1,GD11),Feriados,1,0)))),TRUE,FALSE),FALSE)</f>
        <v>0</v>
      </c>
      <c r="GE10" s="10" t="b">
        <f>IFERROR(IF(AND(VLOOKUP(GE12,'Días laborables y festivos'!$E$5:$F$11,2,0)="Si",NOT(ISNUMBER(VLOOKUP(DATE($A$7,$A$9+1-1,GE11),Feriados,1,0)))),TRUE,FALSE),FALSE)</f>
        <v>0</v>
      </c>
      <c r="GF10" s="10" t="b">
        <f>IFERROR(IF(AND(VLOOKUP(GF12,'Días laborables y festivos'!$E$5:$F$11,2,0)="Si",NOT(ISNUMBER(VLOOKUP(DATE($A$7,$A$9+1-1,GF11),Feriados,1,0)))),TRUE,FALSE),FALSE)</f>
        <v>0</v>
      </c>
      <c r="GG10" s="10" t="b">
        <f>IFERROR(IF(AND(VLOOKUP(GG12,'Días laborables y festivos'!$E$5:$F$11,2,0)="Si",NOT(ISNUMBER(VLOOKUP(DATE($A$7,$A$9+1-1,GG11),Feriados,1,0)))),TRUE,FALSE),FALSE)</f>
        <v>0</v>
      </c>
      <c r="GH10" s="10" t="b">
        <f>IFERROR(IF(AND(VLOOKUP(GH12,'Días laborables y festivos'!$E$5:$F$11,2,0)="Si",NOT(ISNUMBER(VLOOKUP(DATE($A$7,$A$9+1-1,GH11),Feriados,1,0)))),TRUE,FALSE),FALSE)</f>
        <v>0</v>
      </c>
      <c r="GI10" s="10" t="b">
        <f>IFERROR(IF(AND(VLOOKUP(GI12,'Días laborables y festivos'!$E$5:$F$11,2,0)="Si",NOT(ISNUMBER(VLOOKUP(DATE($A$7,$A$9+1-1,GI11),Feriados,1,0)))),TRUE,FALSE),FALSE)</f>
        <v>0</v>
      </c>
      <c r="GJ10" s="10" t="b">
        <f>IFERROR(IF(AND(VLOOKUP(GJ12,'Días laborables y festivos'!$E$5:$F$11,2,0)="Si",NOT(ISNUMBER(VLOOKUP(DATE($A$7,$A$9+1-1,GJ11),Feriados,1,0)))),TRUE,FALSE),FALSE)</f>
        <v>0</v>
      </c>
      <c r="GK10" s="10" t="b">
        <f>IFERROR(IF(AND(VLOOKUP(GK12,'Días laborables y festivos'!$E$5:$F$11,2,0)="Si",NOT(ISNUMBER(VLOOKUP(DATE($A$7,$A$9+1-1,GK11),Feriados,1,0)))),TRUE,FALSE),FALSE)</f>
        <v>0</v>
      </c>
      <c r="GL10" s="10" t="b">
        <f>IFERROR(IF(AND(VLOOKUP(GL12,'Días laborables y festivos'!$E$5:$F$11,2,0)="Si",NOT(ISNUMBER(VLOOKUP(DATE($A$7,$A$9+1-1,GL11),Feriados,1,0)))),TRUE,FALSE),FALSE)</f>
        <v>0</v>
      </c>
      <c r="GM10" s="10" t="b">
        <f>IFERROR(IF(AND(VLOOKUP(GM12,'Días laborables y festivos'!$E$5:$F$11,2,0)="Si",NOT(ISNUMBER(VLOOKUP(DATE($A$7,$A$9+1-1,GM11),Feriados,1,0)))),TRUE,FALSE),FALSE)</f>
        <v>0</v>
      </c>
      <c r="GN10" s="10" t="b">
        <f>IFERROR(IF(AND(VLOOKUP(GN12,'Días laborables y festivos'!$E$5:$F$11,2,0)="Si",NOT(ISNUMBER(VLOOKUP(DATE($A$7,$A$9+1-1,GN11),Feriados,1,0)))),TRUE,FALSE),FALSE)</f>
        <v>0</v>
      </c>
      <c r="GO10" s="10" t="b">
        <f>IFERROR(IF(AND(VLOOKUP(GO12,'Días laborables y festivos'!$E$5:$F$11,2,0)="Si",NOT(ISNUMBER(VLOOKUP(DATE($A$7,$A$9+1-1,GO11),Feriados,1,0)))),TRUE,FALSE),FALSE)</f>
        <v>0</v>
      </c>
      <c r="GP10" s="10" t="b">
        <f>IFERROR(IF(AND(VLOOKUP(GP12,'Días laborables y festivos'!$E$5:$F$11,2,0)="Si",NOT(ISNUMBER(VLOOKUP(DATE($A$7,$A$9+1-1,GP11),Feriados,1,0)))),TRUE,FALSE),FALSE)</f>
        <v>0</v>
      </c>
      <c r="GQ10" s="10" t="b">
        <f>IFERROR(IF(AND(VLOOKUP(GQ12,'Días laborables y festivos'!$E$5:$F$11,2,0)="Si",NOT(ISNUMBER(VLOOKUP(DATE($A$7,$A$9+1-1,GQ11),Feriados,1,0)))),TRUE,FALSE),FALSE)</f>
        <v>0</v>
      </c>
      <c r="GR10" s="10" t="b">
        <f>IFERROR(IF(AND(VLOOKUP(GR12,'Días laborables y festivos'!$E$5:$F$11,2,0)="Si",NOT(ISNUMBER(VLOOKUP(DATE($A$7,$A$9+1-1,GR11),Feriados,1,0)))),TRUE,FALSE),FALSE)</f>
        <v>0</v>
      </c>
      <c r="GS10" s="10" t="b">
        <f>IFERROR(IF(AND(VLOOKUP(GS12,'Días laborables y festivos'!$E$5:$F$11,2,0)="Si",NOT(ISNUMBER(VLOOKUP(DATE($A$7,$A$9+1-1,GS11),Feriados,1,0)))),TRUE,FALSE),FALSE)</f>
        <v>0</v>
      </c>
      <c r="GT10" s="10" t="b">
        <f>IFERROR(IF(AND(VLOOKUP(GT12,'Días laborables y festivos'!$E$5:$F$11,2,0)="Si",NOT(ISNUMBER(VLOOKUP(DATE($A$7,$A$9+1-1,GT11),Feriados,1,0)))),TRUE,FALSE),FALSE)</f>
        <v>0</v>
      </c>
      <c r="GU10" s="10" t="b">
        <f>IFERROR(IF(AND(VLOOKUP(GU12,'Días laborables y festivos'!$E$5:$F$11,2,0)="Si",NOT(ISNUMBER(VLOOKUP(DATE($A$7,$A$9+1-1,GU11),Feriados,1,0)))),TRUE,FALSE),FALSE)</f>
        <v>0</v>
      </c>
      <c r="GV10" s="10" t="b">
        <f>IFERROR(IF(AND(VLOOKUP(GV12,'Días laborables y festivos'!$E$5:$F$11,2,0)="Si",NOT(ISNUMBER(VLOOKUP(DATE($A$7,$A$9+1-1,GV11),Feriados,1,0)))),TRUE,FALSE),FALSE)</f>
        <v>0</v>
      </c>
      <c r="GW10" s="10" t="b">
        <f>IFERROR(IF(AND(VLOOKUP(GW12,'Días laborables y festivos'!$E$5:$F$11,2,0)="Si",NOT(ISNUMBER(VLOOKUP(DATE($A$7,$A$9+1-1,GW11),Feriados,1,0)))),TRUE,FALSE),FALSE)</f>
        <v>0</v>
      </c>
      <c r="GX10" s="10" t="b">
        <f>IFERROR(IF(AND(VLOOKUP(GX12,'Días laborables y festivos'!$E$5:$F$11,2,0)="Si",NOT(ISNUMBER(VLOOKUP(DATE($A$7,$A$9+1-1,GX11),Feriados,1,0)))),TRUE,FALSE),FALSE)</f>
        <v>0</v>
      </c>
      <c r="GY10" s="10" t="b">
        <f>IFERROR(IF(AND(VLOOKUP(GY12,'Días laborables y festivos'!$E$5:$F$11,2,0)="Si",NOT(ISNUMBER(VLOOKUP(DATE($A$7,$A$9+1-1,GY11),Feriados,1,0)))),TRUE,FALSE),FALSE)</f>
        <v>0</v>
      </c>
      <c r="GZ10" s="10" t="b">
        <f>IFERROR(IF(AND(VLOOKUP(GZ12,'Días laborables y festivos'!$E$5:$F$11,2,0)="Si",NOT(ISNUMBER(VLOOKUP(DATE($A$7,$A$9+1-1,GZ11),Feriados,1,0)))),TRUE,FALSE),FALSE)</f>
        <v>0</v>
      </c>
      <c r="HA10" s="10" t="b">
        <f>IFERROR(IF(AND(VLOOKUP(HA12,'Días laborables y festivos'!$E$5:$F$11,2,0)="Si",NOT(ISNUMBER(VLOOKUP(DATE($A$7,$A$9+1-1,HA11),Feriados,1,0)))),TRUE,FALSE),FALSE)</f>
        <v>0</v>
      </c>
      <c r="HB10" s="10" t="b">
        <f>IFERROR(IF(AND(VLOOKUP(HB12,'Días laborables y festivos'!$E$5:$F$11,2,0)="Si",NOT(ISNUMBER(VLOOKUP(DATE($A$7,$A$9+1-1,HB11),Feriados,1,0)))),TRUE,FALSE),FALSE)</f>
        <v>0</v>
      </c>
      <c r="HC10" s="10" t="b">
        <f>IFERROR(IF(AND(VLOOKUP(HC12,'Días laborables y festivos'!$E$5:$F$11,2,0)="Si",NOT(ISNUMBER(VLOOKUP(DATE($A$7,$A$9+1-1,HC11),Feriados,1,0)))),TRUE,FALSE),FALSE)</f>
        <v>0</v>
      </c>
      <c r="HD10" s="10" t="b">
        <f>IFERROR(IF(AND(VLOOKUP(HD12,'Días laborables y festivos'!$E$5:$F$11,2,0)="Si",NOT(ISNUMBER(VLOOKUP(DATE($A$7,$A$9+1-1,HD11),Feriados,1,0)))),TRUE,FALSE),FALSE)</f>
        <v>0</v>
      </c>
      <c r="HE10" s="10" t="b">
        <f>IFERROR(IF(AND(VLOOKUP(HE12,'Días laborables y festivos'!$E$5:$F$11,2,0)="Si",NOT(ISNUMBER(VLOOKUP(DATE($A$7,$A$9+1-1,HE11),Feriados,1,0)))),TRUE,FALSE),FALSE)</f>
        <v>0</v>
      </c>
      <c r="HF10" s="10" t="b">
        <f>IFERROR(IF(AND(VLOOKUP(HF12,'Días laborables y festivos'!$E$5:$F$11,2,0)="Si",NOT(ISNUMBER(VLOOKUP(DATE($A$7,$A$9+1-1,HF11),Feriados,1,0)))),TRUE,FALSE),FALSE)</f>
        <v>0</v>
      </c>
      <c r="HG10" s="10" t="b">
        <f>IFERROR(IF(AND(VLOOKUP(HG12,'Días laborables y festivos'!$E$5:$F$11,2,0)="Si",NOT(ISNUMBER(VLOOKUP(DATE($A$7,$A$9+1-1,HG11),Feriados,1,0)))),TRUE,FALSE),FALSE)</f>
        <v>0</v>
      </c>
      <c r="HH10" s="10" t="b">
        <f>IFERROR(IF(AND(VLOOKUP(HH12,'Días laborables y festivos'!$E$5:$F$11,2,0)="Si",NOT(ISNUMBER(VLOOKUP(DATE($A$7,$A$9+1-1,HH11),Feriados,1,0)))),TRUE,FALSE),FALSE)</f>
        <v>0</v>
      </c>
      <c r="HI10" s="10" t="b">
        <f>IFERROR(IF(AND(VLOOKUP(HI12,'Días laborables y festivos'!$E$5:$F$11,2,0)="Si",NOT(ISNUMBER(VLOOKUP(DATE($A$7,$A$9+1-1,HI11),Feriados,1,0)))),TRUE,FALSE),FALSE)</f>
        <v>0</v>
      </c>
      <c r="HJ10" s="10" t="b">
        <f>IFERROR(IF(AND(VLOOKUP(HJ12,'Días laborables y festivos'!$E$5:$F$11,2,0)="Si",NOT(ISNUMBER(VLOOKUP(DATE($A$7,$A$9+1-1,HJ11),Feriados,1,0)))),TRUE,FALSE),FALSE)</f>
        <v>0</v>
      </c>
      <c r="HK10" s="10" t="b">
        <f>IFERROR(IF(AND(VLOOKUP(HK12,'Días laborables y festivos'!$E$5:$F$11,2,0)="Si",NOT(ISNUMBER(VLOOKUP(DATE($A$7,$A$9+1-1,HK11),Feriados,1,0)))),TRUE,FALSE),FALSE)</f>
        <v>0</v>
      </c>
      <c r="HL10" s="10" t="b">
        <f>IFERROR(IF(AND(VLOOKUP(HL12,'Días laborables y festivos'!$E$5:$F$11,2,0)="Si",NOT(ISNUMBER(VLOOKUP(DATE($A$7,$A$9+1-1,HL11),Feriados,1,0)))),TRUE,FALSE),FALSE)</f>
        <v>0</v>
      </c>
      <c r="HM10" s="10" t="b">
        <f>IFERROR(IF(AND(VLOOKUP(HM12,'Días laborables y festivos'!$E$5:$F$11,2,0)="Si",NOT(ISNUMBER(VLOOKUP(DATE($A$7,$A$9+1-1,HM11),Feriados,1,0)))),TRUE,FALSE),FALSE)</f>
        <v>0</v>
      </c>
      <c r="HN10" s="10" t="b">
        <f>IFERROR(IF(AND(VLOOKUP(HN12,'Días laborables y festivos'!$E$5:$F$11,2,0)="Si",NOT(ISNUMBER(VLOOKUP(DATE($A$7,$A$9+1-1,HN11),Feriados,1,0)))),TRUE,FALSE),FALSE)</f>
        <v>0</v>
      </c>
      <c r="HO10" s="10" t="b">
        <f>IFERROR(IF(AND(VLOOKUP(HO12,'Días laborables y festivos'!$E$5:$F$11,2,0)="Si",NOT(ISNUMBER(VLOOKUP(DATE($A$7,$A$9+1-1,HO11),Feriados,1,0)))),TRUE,FALSE),FALSE)</f>
        <v>0</v>
      </c>
      <c r="HP10" s="10" t="b">
        <f>IFERROR(IF(AND(VLOOKUP(HP12,'Días laborables y festivos'!$E$5:$F$11,2,0)="Si",NOT(ISNUMBER(VLOOKUP(DATE($A$7,$A$9+1-1,HP11),Feriados,1,0)))),TRUE,FALSE),FALSE)</f>
        <v>0</v>
      </c>
      <c r="HQ10" s="10" t="b">
        <f>IFERROR(IF(AND(VLOOKUP(HQ12,'Días laborables y festivos'!$E$5:$F$11,2,0)="Si",NOT(ISNUMBER(VLOOKUP(DATE($A$7,$A$9+1-1,HQ11),Feriados,1,0)))),TRUE,FALSE),FALSE)</f>
        <v>0</v>
      </c>
      <c r="HR10" s="10" t="b">
        <f>IFERROR(IF(AND(VLOOKUP(HR12,'Días laborables y festivos'!$E$5:$F$11,2,0)="Si",NOT(ISNUMBER(VLOOKUP(DATE($A$7,$A$9+1-1,HR11),Feriados,1,0)))),TRUE,FALSE),FALSE)</f>
        <v>0</v>
      </c>
      <c r="HS10" s="10" t="b">
        <f>IFERROR(IF(AND(VLOOKUP(HS12,'Días laborables y festivos'!$E$5:$F$11,2,0)="Si",NOT(ISNUMBER(VLOOKUP(DATE($A$7,$A$9+1-1,HS11),Feriados,1,0)))),TRUE,FALSE),FALSE)</f>
        <v>0</v>
      </c>
      <c r="HT10" s="10" t="b">
        <f>IFERROR(IF(AND(VLOOKUP(HT12,'Días laborables y festivos'!$E$5:$F$11,2,0)="Si",NOT(ISNUMBER(VLOOKUP(DATE($A$7,$A$9+1-1,HT11),Feriados,1,0)))),TRUE,FALSE),FALSE)</f>
        <v>0</v>
      </c>
      <c r="HU10" s="10" t="b">
        <f>IFERROR(IF(AND(VLOOKUP(HU12,'Días laborables y festivos'!$E$5:$F$11,2,0)="Si",NOT(ISNUMBER(VLOOKUP(DATE($A$7,$A$9+1-1,HU11),Feriados,1,0)))),TRUE,FALSE),FALSE)</f>
        <v>0</v>
      </c>
      <c r="HV10" s="10" t="b">
        <f>IFERROR(IF(AND(VLOOKUP(HV12,'Días laborables y festivos'!$E$5:$F$11,2,0)="Si",NOT(ISNUMBER(VLOOKUP(DATE($A$7,$A$9+1-1,HV11),Feriados,1,0)))),TRUE,FALSE),FALSE)</f>
        <v>0</v>
      </c>
      <c r="HW10" s="10" t="b">
        <f>IFERROR(IF(AND(VLOOKUP(HW12,'Días laborables y festivos'!$E$5:$F$11,2,0)="Si",NOT(ISNUMBER(VLOOKUP(DATE($A$7,$A$9+1-1,HW11),Feriados,1,0)))),TRUE,FALSE),FALSE)</f>
        <v>0</v>
      </c>
      <c r="HX10" s="10" t="b">
        <f>IFERROR(IF(AND(VLOOKUP(HX12,'Días laborables y festivos'!$E$5:$F$11,2,0)="Si",NOT(ISNUMBER(VLOOKUP(DATE($A$7,$A$9+1-1,HX11),Feriados,1,0)))),TRUE,FALSE),FALSE)</f>
        <v>0</v>
      </c>
      <c r="HY10" s="10" t="b">
        <f>IFERROR(IF(AND(VLOOKUP(HY12,'Días laborables y festivos'!$E$5:$F$11,2,0)="Si",NOT(ISNUMBER(VLOOKUP(DATE($A$7,$A$9+1-1,HY11),Feriados,1,0)))),TRUE,FALSE),FALSE)</f>
        <v>0</v>
      </c>
      <c r="HZ10" s="10" t="b">
        <f>IFERROR(IF(AND(VLOOKUP(HZ12,'Días laborables y festivos'!$E$5:$F$11,2,0)="Si",NOT(ISNUMBER(VLOOKUP(DATE($A$7,$A$9+1-1,HZ11),Feriados,1,0)))),TRUE,FALSE),FALSE)</f>
        <v>0</v>
      </c>
      <c r="IA10" s="10" t="b">
        <f>IFERROR(IF(AND(VLOOKUP(IA12,'Días laborables y festivos'!$E$5:$F$11,2,0)="Si",NOT(ISNUMBER(VLOOKUP(DATE($A$7,$A$9+1-1,IA11),Feriados,1,0)))),TRUE,FALSE),FALSE)</f>
        <v>0</v>
      </c>
      <c r="IB10" s="10" t="b">
        <f>IFERROR(IF(AND(VLOOKUP(IB12,'Días laborables y festivos'!$E$5:$F$11,2,0)="Si",NOT(ISNUMBER(VLOOKUP(DATE($A$7,$A$9+1-1,IB11),Feriados,1,0)))),TRUE,FALSE),FALSE)</f>
        <v>0</v>
      </c>
      <c r="IC10" s="10" t="b">
        <f>IFERROR(IF(AND(VLOOKUP(IC12,'Días laborables y festivos'!$E$5:$F$11,2,0)="Si",NOT(ISNUMBER(VLOOKUP(DATE($A$7,$A$9+1-1,IC11),Feriados,1,0)))),TRUE,FALSE),FALSE)</f>
        <v>0</v>
      </c>
      <c r="ID10" s="10" t="b">
        <f>IFERROR(IF(AND(VLOOKUP(ID12,'Días laborables y festivos'!$E$5:$F$11,2,0)="Si",NOT(ISNUMBER(VLOOKUP(DATE($A$7,$A$9+1-1,ID11),Feriados,1,0)))),TRUE,FALSE),FALSE)</f>
        <v>0</v>
      </c>
      <c r="IE10" s="10" t="b">
        <f>IFERROR(IF(AND(VLOOKUP(IE12,'Días laborables y festivos'!$E$5:$F$11,2,0)="Si",NOT(ISNUMBER(VLOOKUP(DATE($A$7,$A$9+1-1,IE11),Feriados,1,0)))),TRUE,FALSE),FALSE)</f>
        <v>0</v>
      </c>
      <c r="IF10" s="10" t="b">
        <f>IFERROR(IF(AND(VLOOKUP(IF12,'Días laborables y festivos'!$E$5:$F$11,2,0)="Si",NOT(ISNUMBER(VLOOKUP(DATE($A$7,$A$9+1-1,IF11),Feriados,1,0)))),TRUE,FALSE),FALSE)</f>
        <v>0</v>
      </c>
      <c r="IG10" s="10" t="b">
        <f>IFERROR(IF(AND(VLOOKUP(IG12,'Días laborables y festivos'!$E$5:$F$11,2,0)="Si",NOT(ISNUMBER(VLOOKUP(DATE($A$7,$A$9+1-1,IG11),Feriados,1,0)))),TRUE,FALSE),FALSE)</f>
        <v>0</v>
      </c>
      <c r="IH10" s="10" t="b">
        <f>IFERROR(IF(AND(VLOOKUP(IH12,'Días laborables y festivos'!$E$5:$F$11,2,0)="Si",NOT(ISNUMBER(VLOOKUP(DATE($A$7,$A$9+1-1,IH11),Feriados,1,0)))),TRUE,FALSE),FALSE)</f>
        <v>0</v>
      </c>
      <c r="II10" s="10" t="b">
        <f>IFERROR(IF(AND(VLOOKUP(II12,'Días laborables y festivos'!$E$5:$F$11,2,0)="Si",NOT(ISNUMBER(VLOOKUP(DATE($A$7,$A$9+1-1,II11),Feriados,1,0)))),TRUE,FALSE),FALSE)</f>
        <v>0</v>
      </c>
      <c r="IJ10" s="10" t="b">
        <f>IFERROR(IF(AND(VLOOKUP(IJ12,'Días laborables y festivos'!$E$5:$F$11,2,0)="Si",NOT(ISNUMBER(VLOOKUP(DATE($A$7,$A$9+1-1,IJ11),Feriados,1,0)))),TRUE,FALSE),FALSE)</f>
        <v>0</v>
      </c>
      <c r="IK10" s="10" t="b">
        <f>IFERROR(IF(AND(VLOOKUP(IK12,'Días laborables y festivos'!$E$5:$F$11,2,0)="Si",NOT(ISNUMBER(VLOOKUP(DATE($A$7,$A$9+1-1,IK11),Feriados,1,0)))),TRUE,FALSE),FALSE)</f>
        <v>0</v>
      </c>
      <c r="IL10" s="10" t="b">
        <f>IFERROR(IF(AND(VLOOKUP(IL12,'Días laborables y festivos'!$E$5:$F$11,2,0)="Si",NOT(ISNUMBER(VLOOKUP(DATE($A$7,$A$9+1-1,IL11),Feriados,1,0)))),TRUE,FALSE),FALSE)</f>
        <v>0</v>
      </c>
      <c r="IM10" s="10" t="b">
        <f>IFERROR(IF(AND(VLOOKUP(IM12,'Días laborables y festivos'!$E$5:$F$11,2,0)="Si",NOT(ISNUMBER(VLOOKUP(DATE($A$7,$A$9+1-1,IM11),Feriados,1,0)))),TRUE,FALSE),FALSE)</f>
        <v>0</v>
      </c>
      <c r="IN10" s="10" t="b">
        <f>IFERROR(IF(AND(VLOOKUP(IN12,'Días laborables y festivos'!$E$5:$F$11,2,0)="Si",NOT(ISNUMBER(VLOOKUP(DATE($A$7,$A$9+1-1,IN11),Feriados,1,0)))),TRUE,FALSE),FALSE)</f>
        <v>0</v>
      </c>
      <c r="IO10" s="10" t="b">
        <f>IFERROR(IF(AND(VLOOKUP(IO12,'Días laborables y festivos'!$E$5:$F$11,2,0)="Si",NOT(ISNUMBER(VLOOKUP(DATE($A$7,$A$9+1-1,IO11),Feriados,1,0)))),TRUE,FALSE),FALSE)</f>
        <v>0</v>
      </c>
      <c r="IP10" s="10" t="b">
        <f>IFERROR(IF(AND(VLOOKUP(IP12,'Días laborables y festivos'!$E$5:$F$11,2,0)="Si",NOT(ISNUMBER(VLOOKUP(DATE($A$7,$A$9+1-1,IP11),Feriados,1,0)))),TRUE,FALSE),FALSE)</f>
        <v>0</v>
      </c>
      <c r="IQ10" s="10" t="b">
        <f>IFERROR(IF(AND(VLOOKUP(IQ12,'Días laborables y festivos'!$E$5:$F$11,2,0)="Si",NOT(ISNUMBER(VLOOKUP(DATE($A$7,$A$9+1-1,IQ11),Feriados,1,0)))),TRUE,FALSE),FALSE)</f>
        <v>0</v>
      </c>
      <c r="IR10" s="10" t="b">
        <f>IFERROR(IF(AND(VLOOKUP(IR12,'Días laborables y festivos'!$E$5:$F$11,2,0)="Si",NOT(ISNUMBER(VLOOKUP(DATE($A$7,$A$9+1-1,IR11),Feriados,1,0)))),TRUE,FALSE),FALSE)</f>
        <v>0</v>
      </c>
      <c r="IS10" s="10" t="b">
        <f>IFERROR(IF(AND(VLOOKUP(IS12,'Días laborables y festivos'!$E$5:$F$11,2,0)="Si",NOT(ISNUMBER(VLOOKUP(DATE($A$7,$A$9+1-1,IS11),Feriados,1,0)))),TRUE,FALSE),FALSE)</f>
        <v>0</v>
      </c>
      <c r="IT10" s="10" t="b">
        <f>IFERROR(IF(AND(VLOOKUP(IT12,'Días laborables y festivos'!$E$5:$F$11,2,0)="Si",NOT(ISNUMBER(VLOOKUP(DATE($A$7,$A$9+1-1,IT11),Feriados,1,0)))),TRUE,FALSE),FALSE)</f>
        <v>0</v>
      </c>
      <c r="IU10" s="10" t="b">
        <f>IFERROR(IF(AND(VLOOKUP(IU12,'Días laborables y festivos'!$E$5:$F$11,2,0)="Si",NOT(ISNUMBER(VLOOKUP(DATE($A$7,$A$9+1-1,IU11),Feriados,1,0)))),TRUE,FALSE),FALSE)</f>
        <v>0</v>
      </c>
      <c r="IV10" s="10" t="b">
        <f>IFERROR(IF(AND(VLOOKUP(IV12,'Días laborables y festivos'!$E$5:$F$11,2,0)="Si",NOT(ISNUMBER(VLOOKUP(DATE($A$7,$A$9+1-1,IV11),Feriados,1,0)))),TRUE,FALSE),FALSE)</f>
        <v>0</v>
      </c>
      <c r="IW10" s="10" t="b">
        <f>IFERROR(IF(AND(VLOOKUP(IW12,'Días laborables y festivos'!$E$5:$F$11,2,0)="Si",NOT(ISNUMBER(VLOOKUP(DATE($A$7,$A$9+1-1,IW11),Feriados,1,0)))),TRUE,FALSE),FALSE)</f>
        <v>0</v>
      </c>
      <c r="IX10" s="10" t="b">
        <f>IFERROR(IF(AND(VLOOKUP(IX12,'Días laborables y festivos'!$E$5:$F$11,2,0)="Si",NOT(ISNUMBER(VLOOKUP(DATE($A$7,$A$9+1-1,IX11),Feriados,1,0)))),TRUE,FALSE),FALSE)</f>
        <v>0</v>
      </c>
      <c r="IY10" s="10" t="b">
        <f>IFERROR(IF(AND(VLOOKUP(IY12,'Días laborables y festivos'!$E$5:$F$11,2,0)="Si",NOT(ISNUMBER(VLOOKUP(DATE($A$7,$A$9+1-1,IY11),Feriados,1,0)))),TRUE,FALSE),FALSE)</f>
        <v>0</v>
      </c>
      <c r="IZ10" s="10" t="b">
        <f>IFERROR(IF(AND(VLOOKUP(IZ12,'Días laborables y festivos'!$E$5:$F$11,2,0)="Si",NOT(ISNUMBER(VLOOKUP(DATE($A$7,$A$9+1-1,IZ11),Feriados,1,0)))),TRUE,FALSE),FALSE)</f>
        <v>0</v>
      </c>
      <c r="JA10" s="10" t="b">
        <f>IFERROR(IF(AND(VLOOKUP(JA12,'Días laborables y festivos'!$E$5:$F$11,2,0)="Si",NOT(ISNUMBER(VLOOKUP(DATE($A$7,$A$9+1-1,JA11),Feriados,1,0)))),TRUE,FALSE),FALSE)</f>
        <v>0</v>
      </c>
      <c r="JB10" s="10" t="b">
        <f>IFERROR(IF(AND(VLOOKUP(JB12,'Días laborables y festivos'!$E$5:$F$11,2,0)="Si",NOT(ISNUMBER(VLOOKUP(DATE($A$7,$A$9+1-1,JB11),Feriados,1,0)))),TRUE,FALSE),FALSE)</f>
        <v>0</v>
      </c>
      <c r="JC10" s="10" t="b">
        <f>IFERROR(IF(AND(VLOOKUP(JC12,'Días laborables y festivos'!$E$5:$F$11,2,0)="Si",NOT(ISNUMBER(VLOOKUP(DATE($A$7,$A$9+1-1,JC11),Feriados,1,0)))),TRUE,FALSE),FALSE)</f>
        <v>0</v>
      </c>
      <c r="JD10" s="10" t="b">
        <f>IFERROR(IF(AND(VLOOKUP(JD12,'Días laborables y festivos'!$E$5:$F$11,2,0)="Si",NOT(ISNUMBER(VLOOKUP(DATE($A$7,$A$9+1-1,JD11),Feriados,1,0)))),TRUE,FALSE),FALSE)</f>
        <v>0</v>
      </c>
      <c r="JE10" s="10" t="b">
        <f>IFERROR(IF(AND(VLOOKUP(JE12,'Días laborables y festivos'!$E$5:$F$11,2,0)="Si",NOT(ISNUMBER(VLOOKUP(DATE($A$7,$A$9+1-1,JE11),Feriados,1,0)))),TRUE,FALSE),FALSE)</f>
        <v>0</v>
      </c>
      <c r="JF10" s="10" t="b">
        <f>IFERROR(IF(AND(VLOOKUP(JF12,'Días laborables y festivos'!$E$5:$F$11,2,0)="Si",NOT(ISNUMBER(VLOOKUP(DATE($A$7,$A$9+1-1,JF11),Feriados,1,0)))),TRUE,FALSE),FALSE)</f>
        <v>0</v>
      </c>
      <c r="JG10" s="10" t="b">
        <f>IFERROR(IF(AND(VLOOKUP(JG12,'Días laborables y festivos'!$E$5:$F$11,2,0)="Si",NOT(ISNUMBER(VLOOKUP(DATE($A$7,$A$9+1-1,JG11),Feriados,1,0)))),TRUE,FALSE),FALSE)</f>
        <v>0</v>
      </c>
      <c r="JH10" s="10" t="b">
        <f>IFERROR(IF(AND(VLOOKUP(JH12,'Días laborables y festivos'!$E$5:$F$11,2,0)="Si",NOT(ISNUMBER(VLOOKUP(DATE($A$7,$A$9+1-1,JH11),Feriados,1,0)))),TRUE,FALSE),FALSE)</f>
        <v>0</v>
      </c>
      <c r="JI10" s="10" t="b">
        <f>IFERROR(IF(AND(VLOOKUP(JI12,'Días laborables y festivos'!$E$5:$F$11,2,0)="Si",NOT(ISNUMBER(VLOOKUP(DATE($A$7,$A$9+1-1,JI11),Feriados,1,0)))),TRUE,FALSE),FALSE)</f>
        <v>0</v>
      </c>
      <c r="JJ10" s="10" t="b">
        <f>IFERROR(IF(AND(VLOOKUP(JJ12,'Días laborables y festivos'!$E$5:$F$11,2,0)="Si",NOT(ISNUMBER(VLOOKUP(DATE($A$7,$A$9+1-1,JJ11),Feriados,1,0)))),TRUE,FALSE),FALSE)</f>
        <v>0</v>
      </c>
      <c r="JK10" s="10" t="b">
        <f>IFERROR(IF(AND(VLOOKUP(JK12,'Días laborables y festivos'!$E$5:$F$11,2,0)="Si",NOT(ISNUMBER(VLOOKUP(DATE($A$7,$A$9+1-1,JK11),Feriados,1,0)))),TRUE,FALSE),FALSE)</f>
        <v>0</v>
      </c>
      <c r="JL10" s="10" t="b">
        <f>IFERROR(IF(AND(VLOOKUP(JL12,'Días laborables y festivos'!$E$5:$F$11,2,0)="Si",NOT(ISNUMBER(VLOOKUP(DATE($A$7,$A$9+1-1,JL11),Feriados,1,0)))),TRUE,FALSE),FALSE)</f>
        <v>0</v>
      </c>
      <c r="JM10" s="10" t="b">
        <f>IFERROR(IF(AND(VLOOKUP(JM12,'Días laborables y festivos'!$E$5:$F$11,2,0)="Si",NOT(ISNUMBER(VLOOKUP(DATE($A$7,$A$9+1-1,JM11),Feriados,1,0)))),TRUE,FALSE),FALSE)</f>
        <v>0</v>
      </c>
      <c r="JN10" s="10" t="b">
        <f>IFERROR(IF(AND(VLOOKUP(JN12,'Días laborables y festivos'!$E$5:$F$11,2,0)="Si",NOT(ISNUMBER(VLOOKUP(DATE($A$7,$A$9+1-1,JN11),Feriados,1,0)))),TRUE,FALSE),FALSE)</f>
        <v>0</v>
      </c>
      <c r="JO10" s="10" t="b">
        <f>IFERROR(IF(AND(VLOOKUP(JO12,'Días laborables y festivos'!$E$5:$F$11,2,0)="Si",NOT(ISNUMBER(VLOOKUP(DATE($A$7,$A$9+1-1,JO11),Feriados,1,0)))),TRUE,FALSE),FALSE)</f>
        <v>0</v>
      </c>
      <c r="JP10" s="10" t="b">
        <f>IFERROR(IF(AND(VLOOKUP(JP12,'Días laborables y festivos'!$E$5:$F$11,2,0)="Si",NOT(ISNUMBER(VLOOKUP(DATE($A$7,$A$9+1-1,JP11),Feriados,1,0)))),TRUE,FALSE),FALSE)</f>
        <v>0</v>
      </c>
      <c r="JQ10" s="10" t="b">
        <f>IFERROR(IF(AND(VLOOKUP(JQ12,'Días laborables y festivos'!$E$5:$F$11,2,0)="Si",NOT(ISNUMBER(VLOOKUP(DATE($A$7,$A$9+1-1,JQ11),Feriados,1,0)))),TRUE,FALSE),FALSE)</f>
        <v>0</v>
      </c>
      <c r="JR10" s="10" t="b">
        <f>IFERROR(IF(AND(VLOOKUP(JR12,'Días laborables y festivos'!$E$5:$F$11,2,0)="Si",NOT(ISNUMBER(VLOOKUP(DATE($A$7,$A$9+1-1,JR11),Feriados,1,0)))),TRUE,FALSE),FALSE)</f>
        <v>0</v>
      </c>
      <c r="JS10" s="10" t="b">
        <f>IFERROR(IF(AND(VLOOKUP(JS12,'Días laborables y festivos'!$E$5:$F$11,2,0)="Si",NOT(ISNUMBER(VLOOKUP(DATE($A$7,$A$9+1-1,JS11),Feriados,1,0)))),TRUE,FALSE),FALSE)</f>
        <v>0</v>
      </c>
      <c r="JT10" s="10" t="b">
        <f>IFERROR(IF(AND(VLOOKUP(JT12,'Días laborables y festivos'!$E$5:$F$11,2,0)="Si",NOT(ISNUMBER(VLOOKUP(DATE($A$7,$A$9+1-1,JT11),Feriados,1,0)))),TRUE,FALSE),FALSE)</f>
        <v>0</v>
      </c>
      <c r="JU10" s="10" t="b">
        <f>IFERROR(IF(AND(VLOOKUP(JU12,'Días laborables y festivos'!$E$5:$F$11,2,0)="Si",NOT(ISNUMBER(VLOOKUP(DATE($A$7,$A$9+1-1,JU11),Feriados,1,0)))),TRUE,FALSE),FALSE)</f>
        <v>0</v>
      </c>
      <c r="JV10" s="10" t="b">
        <f>IFERROR(IF(AND(VLOOKUP(JV12,'Días laborables y festivos'!$E$5:$F$11,2,0)="Si",NOT(ISNUMBER(VLOOKUP(DATE($A$7,$A$9+1-1,JV11),Feriados,1,0)))),TRUE,FALSE),FALSE)</f>
        <v>0</v>
      </c>
      <c r="JW10" s="10" t="b">
        <f>IFERROR(IF(AND(VLOOKUP(JW12,'Días laborables y festivos'!$E$5:$F$11,2,0)="Si",NOT(ISNUMBER(VLOOKUP(DATE($A$7,$A$9+1-1,JW11),Feriados,1,0)))),TRUE,FALSE),FALSE)</f>
        <v>0</v>
      </c>
      <c r="JX10" s="10" t="b">
        <f>IFERROR(IF(AND(VLOOKUP(JX12,'Días laborables y festivos'!$E$5:$F$11,2,0)="Si",NOT(ISNUMBER(VLOOKUP(DATE($A$7,$A$9+1-1,JX11),Feriados,1,0)))),TRUE,FALSE),FALSE)</f>
        <v>0</v>
      </c>
      <c r="JY10" s="10" t="b">
        <f>IFERROR(IF(AND(VLOOKUP(JY12,'Días laborables y festivos'!$E$5:$F$11,2,0)="Si",NOT(ISNUMBER(VLOOKUP(DATE($A$7,$A$9+1-1,JY11),Feriados,1,0)))),TRUE,FALSE),FALSE)</f>
        <v>0</v>
      </c>
      <c r="JZ10" s="10" t="b">
        <f>IFERROR(IF(AND(VLOOKUP(JZ12,'Días laborables y festivos'!$E$5:$F$11,2,0)="Si",NOT(ISNUMBER(VLOOKUP(DATE($A$7,$A$9+1-1,JZ11),Feriados,1,0)))),TRUE,FALSE),FALSE)</f>
        <v>0</v>
      </c>
      <c r="KA10" s="10" t="b">
        <f>IFERROR(IF(AND(VLOOKUP(KA12,'Días laborables y festivos'!$E$5:$F$11,2,0)="Si",NOT(ISNUMBER(VLOOKUP(DATE($A$7,$A$9+1-1,KA11),Feriados,1,0)))),TRUE,FALSE),FALSE)</f>
        <v>0</v>
      </c>
      <c r="KB10" s="10" t="b">
        <f>IFERROR(IF(AND(VLOOKUP(KB12,'Días laborables y festivos'!$E$5:$F$11,2,0)="Si",NOT(ISNUMBER(VLOOKUP(DATE($A$7,$A$9+1-1,KB11),Feriados,1,0)))),TRUE,FALSE),FALSE)</f>
        <v>0</v>
      </c>
      <c r="KC10" s="10" t="b">
        <f>IFERROR(IF(AND(VLOOKUP(KC12,'Días laborables y festivos'!$E$5:$F$11,2,0)="Si",NOT(ISNUMBER(VLOOKUP(DATE($A$7,$A$9+1-1,KC11),Feriados,1,0)))),TRUE,FALSE),FALSE)</f>
        <v>0</v>
      </c>
      <c r="KD10" s="10" t="b">
        <f>IFERROR(IF(AND(VLOOKUP(KD12,'Días laborables y festivos'!$E$5:$F$11,2,0)="Si",NOT(ISNUMBER(VLOOKUP(DATE($A$7,$A$9+1-1,KD11),Feriados,1,0)))),TRUE,FALSE),FALSE)</f>
        <v>0</v>
      </c>
      <c r="KE10" s="10" t="b">
        <f>IFERROR(IF(AND(VLOOKUP(KE12,'Días laborables y festivos'!$E$5:$F$11,2,0)="Si",NOT(ISNUMBER(VLOOKUP(DATE($A$7,$A$9+1-1,KE11),Feriados,1,0)))),TRUE,FALSE),FALSE)</f>
        <v>0</v>
      </c>
      <c r="KF10" s="10" t="b">
        <f>IFERROR(IF(AND(VLOOKUP(KF12,'Días laborables y festivos'!$E$5:$F$11,2,0)="Si",NOT(ISNUMBER(VLOOKUP(DATE($A$7,$A$9+1-1,KF11),Feriados,1,0)))),TRUE,FALSE),FALSE)</f>
        <v>0</v>
      </c>
      <c r="KG10" s="10" t="b">
        <f>IFERROR(IF(AND(VLOOKUP(KG12,'Días laborables y festivos'!$E$5:$F$11,2,0)="Si",NOT(ISNUMBER(VLOOKUP(DATE($A$7,$A$9+1-1,KG11),Feriados,1,0)))),TRUE,FALSE),FALSE)</f>
        <v>0</v>
      </c>
      <c r="KH10" s="10" t="b">
        <f>IFERROR(IF(AND(VLOOKUP(KH12,'Días laborables y festivos'!$E$5:$F$11,2,0)="Si",NOT(ISNUMBER(VLOOKUP(DATE($A$7,$A$9+1-1,KH11),Feriados,1,0)))),TRUE,FALSE),FALSE)</f>
        <v>0</v>
      </c>
      <c r="KI10" s="10" t="b">
        <f>IFERROR(IF(AND(VLOOKUP(KI12,'Días laborables y festivos'!$E$5:$F$11,2,0)="Si",NOT(ISNUMBER(VLOOKUP(DATE($A$7,$A$9+1-1,KI11),Feriados,1,0)))),TRUE,FALSE),FALSE)</f>
        <v>0</v>
      </c>
      <c r="KJ10" s="10" t="b">
        <f>IFERROR(IF(AND(VLOOKUP(KJ12,'Días laborables y festivos'!$E$5:$F$11,2,0)="Si",NOT(ISNUMBER(VLOOKUP(DATE($A$7,$A$9+1-1,KJ11),Feriados,1,0)))),TRUE,FALSE),FALSE)</f>
        <v>0</v>
      </c>
      <c r="KK10" s="10" t="b">
        <f>IFERROR(IF(AND(VLOOKUP(KK12,'Días laborables y festivos'!$E$5:$F$11,2,0)="Si",NOT(ISNUMBER(VLOOKUP(DATE($A$7,$A$9+1-1,KK11),Feriados,1,0)))),TRUE,FALSE),FALSE)</f>
        <v>0</v>
      </c>
      <c r="KL10" s="10" t="b">
        <f>IFERROR(IF(AND(VLOOKUP(KL12,'Días laborables y festivos'!$E$5:$F$11,2,0)="Si",NOT(ISNUMBER(VLOOKUP(DATE($A$7,$A$9+1-1,KL11),Feriados,1,0)))),TRUE,FALSE),FALSE)</f>
        <v>0</v>
      </c>
      <c r="KM10" s="10" t="b">
        <f>IFERROR(IF(AND(VLOOKUP(KM12,'Días laborables y festivos'!$E$5:$F$11,2,0)="Si",NOT(ISNUMBER(VLOOKUP(DATE($A$7,$A$9+1-1,KM11),Feriados,1,0)))),TRUE,FALSE),FALSE)</f>
        <v>0</v>
      </c>
      <c r="KN10" s="10" t="b">
        <f>IFERROR(IF(AND(VLOOKUP(KN12,'Días laborables y festivos'!$E$5:$F$11,2,0)="Si",NOT(ISNUMBER(VLOOKUP(DATE($A$7,$A$9+1-1,KN11),Feriados,1,0)))),TRUE,FALSE),FALSE)</f>
        <v>0</v>
      </c>
      <c r="KO10" s="10" t="b">
        <f>IFERROR(IF(AND(VLOOKUP(KO12,'Días laborables y festivos'!$E$5:$F$11,2,0)="Si",NOT(ISNUMBER(VLOOKUP(DATE($A$7,$A$9+1-1,KO11),Feriados,1,0)))),TRUE,FALSE),FALSE)</f>
        <v>0</v>
      </c>
      <c r="KP10" s="10" t="b">
        <f>IFERROR(IF(AND(VLOOKUP(KP12,'Días laborables y festivos'!$E$5:$F$11,2,0)="Si",NOT(ISNUMBER(VLOOKUP(DATE($A$7,$A$9+1-1,KP11),Feriados,1,0)))),TRUE,FALSE),FALSE)</f>
        <v>0</v>
      </c>
      <c r="KQ10" s="10" t="b">
        <f>IFERROR(IF(AND(VLOOKUP(KQ12,'Días laborables y festivos'!$E$5:$F$11,2,0)="Si",NOT(ISNUMBER(VLOOKUP(DATE($A$7,$A$9+1-1,KQ11),Feriados,1,0)))),TRUE,FALSE),FALSE)</f>
        <v>0</v>
      </c>
      <c r="KR10" s="10" t="b">
        <f>IFERROR(IF(AND(VLOOKUP(KR12,'Días laborables y festivos'!$E$5:$F$11,2,0)="Si",NOT(ISNUMBER(VLOOKUP(DATE($A$7,$A$9+1-1,KR11),Feriados,1,0)))),TRUE,FALSE),FALSE)</f>
        <v>0</v>
      </c>
      <c r="KS10" s="10" t="b">
        <f>IFERROR(IF(AND(VLOOKUP(KS12,'Días laborables y festivos'!$E$5:$F$11,2,0)="Si",NOT(ISNUMBER(VLOOKUP(DATE($A$7,$A$9+1-1,KS11),Feriados,1,0)))),TRUE,FALSE),FALSE)</f>
        <v>0</v>
      </c>
      <c r="KT10" s="10" t="b">
        <f>IFERROR(IF(AND(VLOOKUP(KT12,'Días laborables y festivos'!$E$5:$F$11,2,0)="Si",NOT(ISNUMBER(VLOOKUP(DATE($A$7,$A$9+1-1,KT11),Feriados,1,0)))),TRUE,FALSE),FALSE)</f>
        <v>0</v>
      </c>
      <c r="KU10" s="10" t="b">
        <f>IFERROR(IF(AND(VLOOKUP(KU12,'Días laborables y festivos'!$E$5:$F$11,2,0)="Si",NOT(ISNUMBER(VLOOKUP(DATE($A$7,$A$9+1-1,KU11),Feriados,1,0)))),TRUE,FALSE),FALSE)</f>
        <v>0</v>
      </c>
      <c r="KV10" s="10" t="b">
        <f>IFERROR(IF(AND(VLOOKUP(KV12,'Días laborables y festivos'!$E$5:$F$11,2,0)="Si",NOT(ISNUMBER(VLOOKUP(DATE($A$7,$A$9+1-1,KV11),Feriados,1,0)))),TRUE,FALSE),FALSE)</f>
        <v>0</v>
      </c>
      <c r="KW10" s="10" t="b">
        <f>IFERROR(IF(AND(VLOOKUP(KW12,'Días laborables y festivos'!$E$5:$F$11,2,0)="Si",NOT(ISNUMBER(VLOOKUP(DATE($A$7,$A$9+1-1,KW11),Feriados,1,0)))),TRUE,FALSE),FALSE)</f>
        <v>0</v>
      </c>
      <c r="KX10" s="10" t="b">
        <f>IFERROR(IF(AND(VLOOKUP(KX12,'Días laborables y festivos'!$E$5:$F$11,2,0)="Si",NOT(ISNUMBER(VLOOKUP(DATE($A$7,$A$9+1-1,KX11),Feriados,1,0)))),TRUE,FALSE),FALSE)</f>
        <v>0</v>
      </c>
      <c r="KY10" s="10" t="b">
        <f>IFERROR(IF(AND(VLOOKUP(KY12,'Días laborables y festivos'!$E$5:$F$11,2,0)="Si",NOT(ISNUMBER(VLOOKUP(DATE($A$7,$A$9+1-1,KY11),Feriados,1,0)))),TRUE,FALSE),FALSE)</f>
        <v>0</v>
      </c>
      <c r="KZ10" s="10" t="b">
        <f>IFERROR(IF(AND(VLOOKUP(KZ12,'Días laborables y festivos'!$E$5:$F$11,2,0)="Si",NOT(ISNUMBER(VLOOKUP(DATE($A$7,$A$9+1-1,KZ11),Feriados,1,0)))),TRUE,FALSE),FALSE)</f>
        <v>0</v>
      </c>
      <c r="LA10" s="10" t="b">
        <f>IFERROR(IF(AND(VLOOKUP(LA12,'Días laborables y festivos'!$E$5:$F$11,2,0)="Si",NOT(ISNUMBER(VLOOKUP(DATE($A$7,$A$9+1-1,LA11),Feriados,1,0)))),TRUE,FALSE),FALSE)</f>
        <v>0</v>
      </c>
      <c r="LB10" s="10" t="b">
        <f>IFERROR(IF(AND(VLOOKUP(LB12,'Días laborables y festivos'!$E$5:$F$11,2,0)="Si",NOT(ISNUMBER(VLOOKUP(DATE($A$7,$A$9+1-1,LB11),Feriados,1,0)))),TRUE,FALSE),FALSE)</f>
        <v>0</v>
      </c>
      <c r="LC10" s="10" t="b">
        <f>IFERROR(IF(AND(VLOOKUP(LC12,'Días laborables y festivos'!$E$5:$F$11,2,0)="Si",NOT(ISNUMBER(VLOOKUP(DATE($A$7,$A$9+1-1,LC11),Feriados,1,0)))),TRUE,FALSE),FALSE)</f>
        <v>0</v>
      </c>
      <c r="LD10" s="10" t="b">
        <f>IFERROR(IF(AND(VLOOKUP(LD12,'Días laborables y festivos'!$E$5:$F$11,2,0)="Si",NOT(ISNUMBER(VLOOKUP(DATE($A$7,$A$9+1-1,LD11),Feriados,1,0)))),TRUE,FALSE),FALSE)</f>
        <v>0</v>
      </c>
      <c r="LE10" s="10" t="b">
        <f>IFERROR(IF(AND(VLOOKUP(LE12,'Días laborables y festivos'!$E$5:$F$11,2,0)="Si",NOT(ISNUMBER(VLOOKUP(DATE($A$7,$A$9+1-1,LE11),Feriados,1,0)))),TRUE,FALSE),FALSE)</f>
        <v>0</v>
      </c>
      <c r="LF10" s="10" t="b">
        <f>IFERROR(IF(AND(VLOOKUP(LF12,'Días laborables y festivos'!$E$5:$F$11,2,0)="Si",NOT(ISNUMBER(VLOOKUP(DATE($A$7,$A$9+1-1,LF11),Feriados,1,0)))),TRUE,FALSE),FALSE)</f>
        <v>0</v>
      </c>
      <c r="LG10" s="10" t="b">
        <f>IFERROR(IF(AND(VLOOKUP(LG12,'Días laborables y festivos'!$E$5:$F$11,2,0)="Si",NOT(ISNUMBER(VLOOKUP(DATE($A$7,$A$9+1-1,LG11),Feriados,1,0)))),TRUE,FALSE),FALSE)</f>
        <v>0</v>
      </c>
      <c r="LH10" s="10" t="b">
        <f>IFERROR(IF(AND(VLOOKUP(LH12,'Días laborables y festivos'!$E$5:$F$11,2,0)="Si",NOT(ISNUMBER(VLOOKUP(DATE($A$7,$A$9+1-1,LH11),Feriados,1,0)))),TRUE,FALSE),FALSE)</f>
        <v>0</v>
      </c>
      <c r="LI10" s="10" t="b">
        <f>IFERROR(IF(AND(VLOOKUP(LI12,'Días laborables y festivos'!$E$5:$F$11,2,0)="Si",NOT(ISNUMBER(VLOOKUP(DATE($A$7,$A$9+1-1,LI11),Feriados,1,0)))),TRUE,FALSE),FALSE)</f>
        <v>0</v>
      </c>
      <c r="LJ10" s="10" t="b">
        <f>IFERROR(IF(AND(VLOOKUP(LJ12,'Días laborables y festivos'!$E$5:$F$11,2,0)="Si",NOT(ISNUMBER(VLOOKUP(DATE($A$7,$A$9+1-1,LJ11),Feriados,1,0)))),TRUE,FALSE),FALSE)</f>
        <v>0</v>
      </c>
      <c r="LK10" s="10" t="b">
        <f>IFERROR(IF(AND(VLOOKUP(LK12,'Días laborables y festivos'!$E$5:$F$11,2,0)="Si",NOT(ISNUMBER(VLOOKUP(DATE($A$7,$A$9+1-1,LK11),Feriados,1,0)))),TRUE,FALSE),FALSE)</f>
        <v>0</v>
      </c>
      <c r="LL10" s="10" t="b">
        <f>IFERROR(IF(AND(VLOOKUP(LL12,'Días laborables y festivos'!$E$5:$F$11,2,0)="Si",NOT(ISNUMBER(VLOOKUP(DATE($A$7,$A$9+1-1,LL11),Feriados,1,0)))),TRUE,FALSE),FALSE)</f>
        <v>0</v>
      </c>
      <c r="LM10" s="10" t="b">
        <f>IFERROR(IF(AND(VLOOKUP(LM12,'Días laborables y festivos'!$E$5:$F$11,2,0)="Si",NOT(ISNUMBER(VLOOKUP(DATE($A$7,$A$9+1-1,LM11),Feriados,1,0)))),TRUE,FALSE),FALSE)</f>
        <v>0</v>
      </c>
      <c r="LN10" s="10" t="b">
        <f>IFERROR(IF(AND(VLOOKUP(LN12,'Días laborables y festivos'!$E$5:$F$11,2,0)="Si",NOT(ISNUMBER(VLOOKUP(DATE($A$7,$A$9+1-1,LN11),Feriados,1,0)))),TRUE,FALSE),FALSE)</f>
        <v>0</v>
      </c>
      <c r="LO10" s="10" t="b">
        <f>IFERROR(IF(AND(VLOOKUP(LO12,'Días laborables y festivos'!$E$5:$F$11,2,0)="Si",NOT(ISNUMBER(VLOOKUP(DATE($A$7,$A$9+1-1,LO11),Feriados,1,0)))),TRUE,FALSE),FALSE)</f>
        <v>0</v>
      </c>
      <c r="LP10" s="10" t="b">
        <f>IFERROR(IF(AND(VLOOKUP(LP12,'Días laborables y festivos'!$E$5:$F$11,2,0)="Si",NOT(ISNUMBER(VLOOKUP(DATE($A$7,$A$9+1-1,LP11),Feriados,1,0)))),TRUE,FALSE),FALSE)</f>
        <v>0</v>
      </c>
      <c r="LQ10" s="10" t="b">
        <f>IFERROR(IF(AND(VLOOKUP(LQ12,'Días laborables y festivos'!$E$5:$F$11,2,0)="Si",NOT(ISNUMBER(VLOOKUP(DATE($A$7,$A$9+1-1,LQ11),Feriados,1,0)))),TRUE,FALSE),FALSE)</f>
        <v>0</v>
      </c>
      <c r="LR10" s="10" t="b">
        <f>IFERROR(IF(AND(VLOOKUP(LR12,'Días laborables y festivos'!$E$5:$F$11,2,0)="Si",NOT(ISNUMBER(VLOOKUP(DATE($A$7,$A$9+1-1,LR11),Feriados,1,0)))),TRUE,FALSE),FALSE)</f>
        <v>0</v>
      </c>
      <c r="LS10" s="10" t="b">
        <f>IFERROR(IF(AND(VLOOKUP(LS12,'Días laborables y festivos'!$E$5:$F$11,2,0)="Si",NOT(ISNUMBER(VLOOKUP(DATE($A$7,$A$9+1-1,LS11),Feriados,1,0)))),TRUE,FALSE),FALSE)</f>
        <v>0</v>
      </c>
      <c r="LT10" s="10" t="b">
        <f>IFERROR(IF(AND(VLOOKUP(LT12,'Días laborables y festivos'!$E$5:$F$11,2,0)="Si",NOT(ISNUMBER(VLOOKUP(DATE($A$7,$A$9+1-1,LT11),Feriados,1,0)))),TRUE,FALSE),FALSE)</f>
        <v>0</v>
      </c>
      <c r="LU10" s="10" t="b">
        <f>IFERROR(IF(AND(VLOOKUP(LU12,'Días laborables y festivos'!$E$5:$F$11,2,0)="Si",NOT(ISNUMBER(VLOOKUP(DATE($A$7,$A$9+1-1,LU11),Feriados,1,0)))),TRUE,FALSE),FALSE)</f>
        <v>0</v>
      </c>
      <c r="LV10" s="10" t="b">
        <f>IFERROR(IF(AND(VLOOKUP(LV12,'Días laborables y festivos'!$E$5:$F$11,2,0)="Si",NOT(ISNUMBER(VLOOKUP(DATE($A$7,$A$9+1-1,LV11),Feriados,1,0)))),TRUE,FALSE),FALSE)</f>
        <v>0</v>
      </c>
      <c r="LW10" s="10" t="b">
        <f>IFERROR(IF(AND(VLOOKUP(LW12,'Días laborables y festivos'!$E$5:$F$11,2,0)="Si",NOT(ISNUMBER(VLOOKUP(DATE($A$7,$A$9+1-1,LW11),Feriados,1,0)))),TRUE,FALSE),FALSE)</f>
        <v>0</v>
      </c>
      <c r="LX10" s="10" t="b">
        <f>IFERROR(IF(AND(VLOOKUP(LX12,'Días laborables y festivos'!$E$5:$F$11,2,0)="Si",NOT(ISNUMBER(VLOOKUP(DATE($A$7,$A$9+1-1,LX11),Feriados,1,0)))),TRUE,FALSE),FALSE)</f>
        <v>0</v>
      </c>
      <c r="LY10" s="10" t="b">
        <f>IFERROR(IF(AND(VLOOKUP(LY12,'Días laborables y festivos'!$E$5:$F$11,2,0)="Si",NOT(ISNUMBER(VLOOKUP(DATE($A$7,$A$9+1-1,LY11),Feriados,1,0)))),TRUE,FALSE),FALSE)</f>
        <v>0</v>
      </c>
      <c r="LZ10" s="10" t="b">
        <f>IFERROR(IF(AND(VLOOKUP(LZ12,'Días laborables y festivos'!$E$5:$F$11,2,0)="Si",NOT(ISNUMBER(VLOOKUP(DATE($A$7,$A$9+1-1,LZ11),Feriados,1,0)))),TRUE,FALSE),FALSE)</f>
        <v>0</v>
      </c>
      <c r="MA10" s="10" t="b">
        <f>IFERROR(IF(AND(VLOOKUP(MA12,'Días laborables y festivos'!$E$5:$F$11,2,0)="Si",NOT(ISNUMBER(VLOOKUP(DATE($A$7,$A$9+1-1,MA11),Feriados,1,0)))),TRUE,FALSE),FALSE)</f>
        <v>0</v>
      </c>
      <c r="MB10" s="10" t="b">
        <f>IFERROR(IF(AND(VLOOKUP(MB12,'Días laborables y festivos'!$E$5:$F$11,2,0)="Si",NOT(ISNUMBER(VLOOKUP(DATE($A$7,$A$9+1-1,MB11),Feriados,1,0)))),TRUE,FALSE),FALSE)</f>
        <v>0</v>
      </c>
      <c r="MC10" s="10" t="b">
        <f>IFERROR(IF(AND(VLOOKUP(MC12,'Días laborables y festivos'!$E$5:$F$11,2,0)="Si",NOT(ISNUMBER(VLOOKUP(DATE($A$7,$A$9+1-1,MC11),Feriados,1,0)))),TRUE,FALSE),FALSE)</f>
        <v>0</v>
      </c>
      <c r="MD10" s="10" t="b">
        <f>IFERROR(IF(AND(VLOOKUP(MD12,'Días laborables y festivos'!$E$5:$F$11,2,0)="Si",NOT(ISNUMBER(VLOOKUP(DATE($A$7,$A$9+1-1,MD11),Feriados,1,0)))),TRUE,FALSE),FALSE)</f>
        <v>0</v>
      </c>
      <c r="ME10" s="10" t="b">
        <f>IFERROR(IF(AND(VLOOKUP(ME12,'Días laborables y festivos'!$E$5:$F$11,2,0)="Si",NOT(ISNUMBER(VLOOKUP(DATE($A$7,$A$9+1-1,ME11),Feriados,1,0)))),TRUE,FALSE),FALSE)</f>
        <v>1</v>
      </c>
      <c r="MF10" s="10" t="b">
        <f>IFERROR(IF(AND(VLOOKUP(MF12,'Días laborables y festivos'!$E$5:$F$11,2,0)="Si",NOT(ISNUMBER(VLOOKUP(DATE($A$7,$A$9+1-1,MF11),Feriados,1,0)))),TRUE,FALSE),FALSE)</f>
        <v>1</v>
      </c>
      <c r="MG10" s="10" t="b">
        <f>IFERROR(IF(AND(VLOOKUP(MG12,'Días laborables y festivos'!$E$5:$F$11,2,0)="Si",NOT(ISNUMBER(VLOOKUP(DATE($A$7,$A$9+1-1,MG11),Feriados,1,0)))),TRUE,FALSE),FALSE)</f>
        <v>1</v>
      </c>
      <c r="MH10" s="10" t="b">
        <f>IFERROR(IF(AND(VLOOKUP(MH12,'Días laborables y festivos'!$E$5:$F$11,2,0)="Si",NOT(ISNUMBER(VLOOKUP(DATE($A$7,$A$9+1-1,MH11),Feriados,1,0)))),TRUE,FALSE),FALSE)</f>
        <v>1</v>
      </c>
      <c r="MI10" s="10" t="b">
        <f>IFERROR(IF(AND(VLOOKUP(MI12,'Días laborables y festivos'!$E$5:$F$11,2,0)="Si",NOT(ISNUMBER(VLOOKUP(DATE($A$7,$A$9+1-1,MI11),Feriados,1,0)))),TRUE,FALSE),FALSE)</f>
        <v>0</v>
      </c>
      <c r="MJ10" s="10" t="b">
        <f>IFERROR(IF(AND(VLOOKUP(MJ12,'Días laborables y festivos'!$E$5:$F$11,2,0)="Si",NOT(ISNUMBER(VLOOKUP(DATE($A$7,$A$9+1-1,MJ11),Feriados,1,0)))),TRUE,FALSE),FALSE)</f>
        <v>0</v>
      </c>
      <c r="MK10" s="10" t="b">
        <f>IFERROR(IF(AND(VLOOKUP(MK12,'Días laborables y festivos'!$E$5:$F$11,2,0)="Si",NOT(ISNUMBER(VLOOKUP(DATE($A$7,$A$9+1-1,MK11),Feriados,1,0)))),TRUE,FALSE),FALSE)</f>
        <v>0</v>
      </c>
      <c r="ML10" s="10" t="b">
        <f>IFERROR(IF(AND(VLOOKUP(ML12,'Días laborables y festivos'!$E$5:$F$11,2,0)="Si",NOT(ISNUMBER(VLOOKUP(DATE($A$7,$A$9+1-1,ML11),Feriados,1,0)))),TRUE,FALSE),FALSE)</f>
        <v>0</v>
      </c>
      <c r="MM10" s="10" t="b">
        <f>IFERROR(IF(AND(VLOOKUP(MM12,'Días laborables y festivos'!$E$5:$F$11,2,0)="Si",NOT(ISNUMBER(VLOOKUP(DATE($A$7,$A$9+1-1,MM11),Feriados,1,0)))),TRUE,FALSE),FALSE)</f>
        <v>1</v>
      </c>
      <c r="MN10" s="10" t="b">
        <f>IFERROR(IF(AND(VLOOKUP(MN12,'Días laborables y festivos'!$E$5:$F$11,2,0)="Si",NOT(ISNUMBER(VLOOKUP(DATE($A$7,$A$9+1-1,MN11),Feriados,1,0)))),TRUE,FALSE),FALSE)</f>
        <v>1</v>
      </c>
      <c r="MO10" s="10" t="b">
        <f>IFERROR(IF(AND(VLOOKUP(MO12,'Días laborables y festivos'!$E$5:$F$11,2,0)="Si",NOT(ISNUMBER(VLOOKUP(DATE($A$7,$A$9+1-1,MO11),Feriados,1,0)))),TRUE,FALSE),FALSE)</f>
        <v>1</v>
      </c>
      <c r="MP10" s="10" t="b">
        <f>IFERROR(IF(AND(VLOOKUP(MP12,'Días laborables y festivos'!$E$5:$F$11,2,0)="Si",NOT(ISNUMBER(VLOOKUP(DATE($A$7,$A$9+1-1,MP11),Feriados,1,0)))),TRUE,FALSE),FALSE)</f>
        <v>0</v>
      </c>
      <c r="MQ10" s="10" t="b">
        <f>IFERROR(IF(AND(VLOOKUP(MQ12,'Días laborables y festivos'!$E$5:$F$11,2,0)="Si",NOT(ISNUMBER(VLOOKUP(DATE($A$7,$A$9+1-1,MQ11),Feriados,1,0)))),TRUE,FALSE),FALSE)</f>
        <v>0</v>
      </c>
      <c r="MR10" s="10" t="b">
        <f>IFERROR(IF(AND(VLOOKUP(MR12,'Días laborables y festivos'!$E$5:$F$11,2,0)="Si",NOT(ISNUMBER(VLOOKUP(DATE($A$7,$A$9+1-1,MR11),Feriados,1,0)))),TRUE,FALSE),FALSE)</f>
        <v>1</v>
      </c>
      <c r="MS10" s="10" t="b">
        <f>IFERROR(IF(AND(VLOOKUP(MS12,'Días laborables y festivos'!$E$5:$F$11,2,0)="Si",NOT(ISNUMBER(VLOOKUP(DATE($A$7,$A$9+1-1,MS11),Feriados,1,0)))),TRUE,FALSE),FALSE)</f>
        <v>1</v>
      </c>
      <c r="MT10" s="10" t="b">
        <f>IFERROR(IF(AND(VLOOKUP(MT12,'Días laborables y festivos'!$E$5:$F$11,2,0)="Si",NOT(ISNUMBER(VLOOKUP(DATE($A$7,$A$9+1-1,MT11),Feriados,1,0)))),TRUE,FALSE),FALSE)</f>
        <v>1</v>
      </c>
      <c r="MU10" s="10" t="b">
        <f>IFERROR(IF(AND(VLOOKUP(MU12,'Días laborables y festivos'!$E$5:$F$11,2,0)="Si",NOT(ISNUMBER(VLOOKUP(DATE($A$7,$A$9+1-1,MU11),Feriados,1,0)))),TRUE,FALSE),FALSE)</f>
        <v>1</v>
      </c>
      <c r="MV10" s="10" t="b">
        <f>IFERROR(IF(AND(VLOOKUP(MV12,'Días laborables y festivos'!$E$5:$F$11,2,0)="Si",NOT(ISNUMBER(VLOOKUP(DATE($A$7,$A$9+1-1,MV11),Feriados,1,0)))),TRUE,FALSE),FALSE)</f>
        <v>1</v>
      </c>
      <c r="MW10" s="10" t="b">
        <f>IFERROR(IF(AND(VLOOKUP(MW12,'Días laborables y festivos'!$E$5:$F$11,2,0)="Si",NOT(ISNUMBER(VLOOKUP(DATE($A$7,$A$9+1-1,MW11),Feriados,1,0)))),TRUE,FALSE),FALSE)</f>
        <v>0</v>
      </c>
      <c r="MX10" s="10" t="b">
        <f>IFERROR(IF(AND(VLOOKUP(MX12,'Días laborables y festivos'!$E$5:$F$11,2,0)="Si",NOT(ISNUMBER(VLOOKUP(DATE($A$7,$A$9+1-1,MX11),Feriados,1,0)))),TRUE,FALSE),FALSE)</f>
        <v>0</v>
      </c>
      <c r="MY10" s="10" t="b">
        <f>IFERROR(IF(AND(VLOOKUP(MY12,'Días laborables y festivos'!$E$5:$F$11,2,0)="Si",NOT(ISNUMBER(VLOOKUP(DATE($A$7,$A$9+1-1,MY11),Feriados,1,0)))),TRUE,FALSE),FALSE)</f>
        <v>1</v>
      </c>
      <c r="MZ10" s="10" t="b">
        <f>IFERROR(IF(AND(VLOOKUP(MZ12,'Días laborables y festivos'!$E$5:$F$11,2,0)="Si",NOT(ISNUMBER(VLOOKUP(DATE($A$7,$A$9+1-1,MZ11),Feriados,1,0)))),TRUE,FALSE),FALSE)</f>
        <v>1</v>
      </c>
      <c r="NA10" s="10" t="b">
        <f>IFERROR(IF(AND(VLOOKUP(NA12,'Días laborables y festivos'!$E$5:$F$11,2,0)="Si",NOT(ISNUMBER(VLOOKUP(DATE($A$7,$A$9+1-1,NA11),Feriados,1,0)))),TRUE,FALSE),FALSE)</f>
        <v>1</v>
      </c>
      <c r="NB10" s="10" t="b">
        <f>IFERROR(IF(AND(VLOOKUP(NB12,'Días laborables y festivos'!$E$5:$F$11,2,0)="Si",NOT(ISNUMBER(VLOOKUP(DATE($A$7,$A$9+1-1,NB11),Feriados,1,0)))),TRUE,FALSE),FALSE)</f>
        <v>1</v>
      </c>
      <c r="NC10" s="10" t="b">
        <f>IFERROR(IF(AND(VLOOKUP(NC12,'Días laborables y festivos'!$E$5:$F$11,2,0)="Si",NOT(ISNUMBER(VLOOKUP(DATE($A$7,$A$9+1-1,NC11),Feriados,1,0)))),TRUE,FALSE),FALSE)</f>
        <v>0</v>
      </c>
      <c r="ND10" s="10" t="b">
        <f>IFERROR(IF(AND(VLOOKUP(ND12,'Días laborables y festivos'!$E$5:$F$11,2,0)="Si",NOT(ISNUMBER(VLOOKUP(DATE($A$7,$A$9+1-1,ND11),Feriados,1,0)))),TRUE,FALSE),FALSE)</f>
        <v>0</v>
      </c>
      <c r="NE10" s="10" t="b">
        <f>IFERROR(IF(AND(VLOOKUP(NE12,'Días laborables y festivos'!$E$5:$F$11,2,0)="Si",NOT(ISNUMBER(VLOOKUP(DATE($A$7,$A$9+1-1,NE11),Feriados,1,0)))),TRUE,FALSE),FALSE)</f>
        <v>0</v>
      </c>
      <c r="NF10" s="10" t="b">
        <f>IFERROR(IF(AND(VLOOKUP(NF12,'Días laborables y festivos'!$E$5:$F$11,2,0)="Si",NOT(ISNUMBER(VLOOKUP(DATE($A$7,$A$9+1-1,NF11),Feriados,1,0)))),TRUE,FALSE),FALSE)</f>
        <v>1</v>
      </c>
      <c r="NG10" s="10" t="b">
        <f>IFERROR(IF(AND(VLOOKUP(NG12,'Días laborables y festivos'!$E$5:$F$11,2,0)="Si",NOT(ISNUMBER(VLOOKUP(DATE($A$7,$A$9+1-1,NG11),Feriados,1,0)))),TRUE,FALSE),FALSE)</f>
        <v>1</v>
      </c>
      <c r="NH10" s="10" t="b">
        <f>IFERROR(IF(AND(VLOOKUP(NH12,'Días laborables y festivos'!$E$5:$F$11,2,0)="Si",NOT(ISNUMBER(VLOOKUP(DATE($A$7,$A$9+1-1,NH11),Feriados,1,0)))),TRUE,FALSE),FALSE)</f>
        <v>1</v>
      </c>
      <c r="NI10" s="10" t="b">
        <f>IFERROR(IF(AND(VLOOKUP(NI12,'Días laborables y festivos'!$E$5:$F$11,2,0)="Si",NOT(ISNUMBER(VLOOKUP(DATE($A$7,$A$9+1-1,NI11),Feriados,1,0)))),TRUE,FALSE),FALSE)</f>
        <v>1</v>
      </c>
      <c r="NJ10" s="31"/>
      <c r="NK10" s="31"/>
      <c r="NL10" s="31"/>
      <c r="NM10" s="31"/>
      <c r="NN10" s="59" t="s">
        <v>35</v>
      </c>
      <c r="NO10" s="59"/>
      <c r="NP10" s="59"/>
      <c r="NQ10" s="59"/>
      <c r="NR10" s="59"/>
      <c r="NS10" s="59"/>
      <c r="NT10" s="59"/>
    </row>
    <row r="11" spans="1:756" ht="15" customHeight="1" x14ac:dyDescent="0.35">
      <c r="A11" s="3"/>
      <c r="B11" s="13" t="str">
        <f>IF(AND((COLUMN()-1)&gt;31*($A$9-1),MONTH(DATE($A$7+INT(($A$9+1)/12),INT((COLUMN()-1)/31.001)+1,ROUNDUP(MOD(COLUMN()-1,31.001),0)))=ROUNDUP(MOD(1+$A$9-1,12.01),0)),ROUNDUP(MOD(COLUMN()-1,31.001),0),"")</f>
        <v/>
      </c>
      <c r="C11" s="13" t="str">
        <f t="shared" ref="C11:BN11" si="0">IF(AND((COLUMN()-1)&gt;31*($A$9-1),MONTH(DATE($A$7+INT(($A$9+1)/12),INT((COLUMN()-1)/31.001)+1,ROUNDUP(MOD(COLUMN()-1,31.001),0)))=ROUNDUP(MOD(1+$A$9-1,12.01),0)),ROUNDUP(MOD(COLUMN()-1,31.001),0),"")</f>
        <v/>
      </c>
      <c r="D11" s="13" t="str">
        <f t="shared" si="0"/>
        <v/>
      </c>
      <c r="E11" s="13" t="str">
        <f t="shared" si="0"/>
        <v/>
      </c>
      <c r="F11" s="13" t="str">
        <f t="shared" si="0"/>
        <v/>
      </c>
      <c r="G11" s="13" t="str">
        <f t="shared" si="0"/>
        <v/>
      </c>
      <c r="H11" s="13" t="str">
        <f t="shared" si="0"/>
        <v/>
      </c>
      <c r="I11" s="13" t="str">
        <f t="shared" si="0"/>
        <v/>
      </c>
      <c r="J11" s="13" t="str">
        <f t="shared" si="0"/>
        <v/>
      </c>
      <c r="K11" s="13" t="str">
        <f t="shared" si="0"/>
        <v/>
      </c>
      <c r="L11" s="13" t="str">
        <f t="shared" si="0"/>
        <v/>
      </c>
      <c r="M11" s="13" t="str">
        <f t="shared" si="0"/>
        <v/>
      </c>
      <c r="N11" s="13" t="str">
        <f t="shared" si="0"/>
        <v/>
      </c>
      <c r="O11" s="13" t="str">
        <f t="shared" si="0"/>
        <v/>
      </c>
      <c r="P11" s="13" t="str">
        <f t="shared" si="0"/>
        <v/>
      </c>
      <c r="Q11" s="13" t="str">
        <f t="shared" si="0"/>
        <v/>
      </c>
      <c r="R11" s="13" t="str">
        <f t="shared" si="0"/>
        <v/>
      </c>
      <c r="S11" s="13" t="str">
        <f t="shared" si="0"/>
        <v/>
      </c>
      <c r="T11" s="13" t="str">
        <f t="shared" si="0"/>
        <v/>
      </c>
      <c r="U11" s="13" t="str">
        <f t="shared" si="0"/>
        <v/>
      </c>
      <c r="V11" s="13" t="str">
        <f t="shared" si="0"/>
        <v/>
      </c>
      <c r="W11" s="13" t="str">
        <f t="shared" si="0"/>
        <v/>
      </c>
      <c r="X11" s="13" t="str">
        <f t="shared" si="0"/>
        <v/>
      </c>
      <c r="Y11" s="13" t="str">
        <f t="shared" si="0"/>
        <v/>
      </c>
      <c r="Z11" s="13" t="str">
        <f t="shared" si="0"/>
        <v/>
      </c>
      <c r="AA11" s="13" t="str">
        <f t="shared" si="0"/>
        <v/>
      </c>
      <c r="AB11" s="13" t="str">
        <f t="shared" si="0"/>
        <v/>
      </c>
      <c r="AC11" s="13" t="str">
        <f t="shared" si="0"/>
        <v/>
      </c>
      <c r="AD11" s="13" t="str">
        <f t="shared" si="0"/>
        <v/>
      </c>
      <c r="AE11" s="13" t="str">
        <f t="shared" si="0"/>
        <v/>
      </c>
      <c r="AF11" s="13" t="str">
        <f t="shared" si="0"/>
        <v/>
      </c>
      <c r="AG11" s="13" t="str">
        <f t="shared" si="0"/>
        <v/>
      </c>
      <c r="AH11" s="13" t="str">
        <f t="shared" si="0"/>
        <v/>
      </c>
      <c r="AI11" s="13" t="str">
        <f t="shared" si="0"/>
        <v/>
      </c>
      <c r="AJ11" s="13" t="str">
        <f t="shared" si="0"/>
        <v/>
      </c>
      <c r="AK11" s="13" t="str">
        <f t="shared" si="0"/>
        <v/>
      </c>
      <c r="AL11" s="13" t="str">
        <f t="shared" si="0"/>
        <v/>
      </c>
      <c r="AM11" s="13" t="str">
        <f t="shared" si="0"/>
        <v/>
      </c>
      <c r="AN11" s="13" t="str">
        <f t="shared" si="0"/>
        <v/>
      </c>
      <c r="AO11" s="13" t="str">
        <f t="shared" si="0"/>
        <v/>
      </c>
      <c r="AP11" s="13" t="str">
        <f t="shared" si="0"/>
        <v/>
      </c>
      <c r="AQ11" s="13" t="str">
        <f t="shared" si="0"/>
        <v/>
      </c>
      <c r="AR11" s="13" t="str">
        <f t="shared" si="0"/>
        <v/>
      </c>
      <c r="AS11" s="13" t="str">
        <f t="shared" si="0"/>
        <v/>
      </c>
      <c r="AT11" s="13" t="str">
        <f t="shared" si="0"/>
        <v/>
      </c>
      <c r="AU11" s="13" t="str">
        <f t="shared" si="0"/>
        <v/>
      </c>
      <c r="AV11" s="13" t="str">
        <f t="shared" si="0"/>
        <v/>
      </c>
      <c r="AW11" s="13" t="str">
        <f t="shared" si="0"/>
        <v/>
      </c>
      <c r="AX11" s="13" t="str">
        <f t="shared" si="0"/>
        <v/>
      </c>
      <c r="AY11" s="13" t="str">
        <f t="shared" si="0"/>
        <v/>
      </c>
      <c r="AZ11" s="13" t="str">
        <f t="shared" si="0"/>
        <v/>
      </c>
      <c r="BA11" s="13" t="str">
        <f t="shared" si="0"/>
        <v/>
      </c>
      <c r="BB11" s="13" t="str">
        <f t="shared" si="0"/>
        <v/>
      </c>
      <c r="BC11" s="13" t="str">
        <f t="shared" si="0"/>
        <v/>
      </c>
      <c r="BD11" s="13" t="str">
        <f t="shared" si="0"/>
        <v/>
      </c>
      <c r="BE11" s="13" t="str">
        <f t="shared" si="0"/>
        <v/>
      </c>
      <c r="BF11" s="13" t="str">
        <f t="shared" si="0"/>
        <v/>
      </c>
      <c r="BG11" s="13" t="str">
        <f t="shared" si="0"/>
        <v/>
      </c>
      <c r="BH11" s="13" t="str">
        <f t="shared" si="0"/>
        <v/>
      </c>
      <c r="BI11" s="13" t="str">
        <f t="shared" si="0"/>
        <v/>
      </c>
      <c r="BJ11" s="13" t="str">
        <f t="shared" si="0"/>
        <v/>
      </c>
      <c r="BK11" s="13" t="str">
        <f t="shared" si="0"/>
        <v/>
      </c>
      <c r="BL11" s="13" t="str">
        <f t="shared" si="0"/>
        <v/>
      </c>
      <c r="BM11" s="13" t="str">
        <f t="shared" si="0"/>
        <v/>
      </c>
      <c r="BN11" s="13" t="str">
        <f t="shared" si="0"/>
        <v/>
      </c>
      <c r="BO11" s="13" t="str">
        <f t="shared" ref="BO11:DZ11" si="1">IF(AND((COLUMN()-1)&gt;31*($A$9-1),MONTH(DATE($A$7+INT(($A$9+1)/12),INT((COLUMN()-1)/31.001)+1,ROUNDUP(MOD(COLUMN()-1,31.001),0)))=ROUNDUP(MOD(1+$A$9-1,12.01),0)),ROUNDUP(MOD(COLUMN()-1,31.001),0),"")</f>
        <v/>
      </c>
      <c r="BP11" s="13" t="str">
        <f t="shared" si="1"/>
        <v/>
      </c>
      <c r="BQ11" s="13" t="str">
        <f t="shared" si="1"/>
        <v/>
      </c>
      <c r="BR11" s="13" t="str">
        <f t="shared" si="1"/>
        <v/>
      </c>
      <c r="BS11" s="13" t="str">
        <f t="shared" si="1"/>
        <v/>
      </c>
      <c r="BT11" s="13" t="str">
        <f t="shared" si="1"/>
        <v/>
      </c>
      <c r="BU11" s="13" t="str">
        <f t="shared" si="1"/>
        <v/>
      </c>
      <c r="BV11" s="13" t="str">
        <f t="shared" si="1"/>
        <v/>
      </c>
      <c r="BW11" s="13" t="str">
        <f t="shared" si="1"/>
        <v/>
      </c>
      <c r="BX11" s="13" t="str">
        <f t="shared" si="1"/>
        <v/>
      </c>
      <c r="BY11" s="13" t="str">
        <f t="shared" si="1"/>
        <v/>
      </c>
      <c r="BZ11" s="13" t="str">
        <f t="shared" si="1"/>
        <v/>
      </c>
      <c r="CA11" s="13" t="str">
        <f t="shared" si="1"/>
        <v/>
      </c>
      <c r="CB11" s="13" t="str">
        <f t="shared" si="1"/>
        <v/>
      </c>
      <c r="CC11" s="13" t="str">
        <f t="shared" si="1"/>
        <v/>
      </c>
      <c r="CD11" s="13" t="str">
        <f t="shared" si="1"/>
        <v/>
      </c>
      <c r="CE11" s="13" t="str">
        <f t="shared" si="1"/>
        <v/>
      </c>
      <c r="CF11" s="13" t="str">
        <f t="shared" si="1"/>
        <v/>
      </c>
      <c r="CG11" s="13" t="str">
        <f t="shared" si="1"/>
        <v/>
      </c>
      <c r="CH11" s="13" t="str">
        <f t="shared" si="1"/>
        <v/>
      </c>
      <c r="CI11" s="13" t="str">
        <f t="shared" si="1"/>
        <v/>
      </c>
      <c r="CJ11" s="13" t="str">
        <f t="shared" si="1"/>
        <v/>
      </c>
      <c r="CK11" s="13" t="str">
        <f t="shared" si="1"/>
        <v/>
      </c>
      <c r="CL11" s="13" t="str">
        <f t="shared" si="1"/>
        <v/>
      </c>
      <c r="CM11" s="13" t="str">
        <f t="shared" si="1"/>
        <v/>
      </c>
      <c r="CN11" s="13" t="str">
        <f t="shared" si="1"/>
        <v/>
      </c>
      <c r="CO11" s="13" t="str">
        <f t="shared" si="1"/>
        <v/>
      </c>
      <c r="CP11" s="13" t="str">
        <f t="shared" si="1"/>
        <v/>
      </c>
      <c r="CQ11" s="13" t="str">
        <f t="shared" si="1"/>
        <v/>
      </c>
      <c r="CR11" s="13" t="str">
        <f t="shared" si="1"/>
        <v/>
      </c>
      <c r="CS11" s="13" t="str">
        <f t="shared" si="1"/>
        <v/>
      </c>
      <c r="CT11" s="13" t="str">
        <f t="shared" si="1"/>
        <v/>
      </c>
      <c r="CU11" s="13" t="str">
        <f t="shared" si="1"/>
        <v/>
      </c>
      <c r="CV11" s="13" t="str">
        <f t="shared" si="1"/>
        <v/>
      </c>
      <c r="CW11" s="13" t="str">
        <f t="shared" si="1"/>
        <v/>
      </c>
      <c r="CX11" s="13" t="str">
        <f t="shared" si="1"/>
        <v/>
      </c>
      <c r="CY11" s="13" t="str">
        <f t="shared" si="1"/>
        <v/>
      </c>
      <c r="CZ11" s="13" t="str">
        <f t="shared" si="1"/>
        <v/>
      </c>
      <c r="DA11" s="13" t="str">
        <f t="shared" si="1"/>
        <v/>
      </c>
      <c r="DB11" s="13" t="str">
        <f t="shared" si="1"/>
        <v/>
      </c>
      <c r="DC11" s="13" t="str">
        <f t="shared" si="1"/>
        <v/>
      </c>
      <c r="DD11" s="13" t="str">
        <f t="shared" si="1"/>
        <v/>
      </c>
      <c r="DE11" s="13" t="str">
        <f t="shared" si="1"/>
        <v/>
      </c>
      <c r="DF11" s="13" t="str">
        <f t="shared" si="1"/>
        <v/>
      </c>
      <c r="DG11" s="13" t="str">
        <f t="shared" si="1"/>
        <v/>
      </c>
      <c r="DH11" s="13" t="str">
        <f t="shared" si="1"/>
        <v/>
      </c>
      <c r="DI11" s="13" t="str">
        <f t="shared" si="1"/>
        <v/>
      </c>
      <c r="DJ11" s="13" t="str">
        <f t="shared" si="1"/>
        <v/>
      </c>
      <c r="DK11" s="13" t="str">
        <f t="shared" si="1"/>
        <v/>
      </c>
      <c r="DL11" s="13" t="str">
        <f t="shared" si="1"/>
        <v/>
      </c>
      <c r="DM11" s="13" t="str">
        <f t="shared" si="1"/>
        <v/>
      </c>
      <c r="DN11" s="13" t="str">
        <f t="shared" si="1"/>
        <v/>
      </c>
      <c r="DO11" s="13" t="str">
        <f t="shared" si="1"/>
        <v/>
      </c>
      <c r="DP11" s="13" t="str">
        <f t="shared" si="1"/>
        <v/>
      </c>
      <c r="DQ11" s="13" t="str">
        <f t="shared" si="1"/>
        <v/>
      </c>
      <c r="DR11" s="13" t="str">
        <f t="shared" si="1"/>
        <v/>
      </c>
      <c r="DS11" s="13" t="str">
        <f t="shared" si="1"/>
        <v/>
      </c>
      <c r="DT11" s="13" t="str">
        <f t="shared" si="1"/>
        <v/>
      </c>
      <c r="DU11" s="13" t="str">
        <f t="shared" si="1"/>
        <v/>
      </c>
      <c r="DV11" s="13" t="str">
        <f t="shared" si="1"/>
        <v/>
      </c>
      <c r="DW11" s="13" t="str">
        <f t="shared" si="1"/>
        <v/>
      </c>
      <c r="DX11" s="13" t="str">
        <f t="shared" si="1"/>
        <v/>
      </c>
      <c r="DY11" s="13" t="str">
        <f t="shared" si="1"/>
        <v/>
      </c>
      <c r="DZ11" s="13" t="str">
        <f t="shared" si="1"/>
        <v/>
      </c>
      <c r="EA11" s="13" t="str">
        <f t="shared" ref="EA11:GL11" si="2">IF(AND((COLUMN()-1)&gt;31*($A$9-1),MONTH(DATE($A$7+INT(($A$9+1)/12),INT((COLUMN()-1)/31.001)+1,ROUNDUP(MOD(COLUMN()-1,31.001),0)))=ROUNDUP(MOD(1+$A$9-1,12.01),0)),ROUNDUP(MOD(COLUMN()-1,31.001),0),"")</f>
        <v/>
      </c>
      <c r="EB11" s="13" t="str">
        <f t="shared" si="2"/>
        <v/>
      </c>
      <c r="EC11" s="13" t="str">
        <f t="shared" si="2"/>
        <v/>
      </c>
      <c r="ED11" s="13" t="str">
        <f t="shared" si="2"/>
        <v/>
      </c>
      <c r="EE11" s="13" t="str">
        <f t="shared" si="2"/>
        <v/>
      </c>
      <c r="EF11" s="13" t="str">
        <f t="shared" si="2"/>
        <v/>
      </c>
      <c r="EG11" s="13" t="str">
        <f t="shared" si="2"/>
        <v/>
      </c>
      <c r="EH11" s="13" t="str">
        <f t="shared" si="2"/>
        <v/>
      </c>
      <c r="EI11" s="13" t="str">
        <f t="shared" si="2"/>
        <v/>
      </c>
      <c r="EJ11" s="13" t="str">
        <f t="shared" si="2"/>
        <v/>
      </c>
      <c r="EK11" s="13" t="str">
        <f t="shared" si="2"/>
        <v/>
      </c>
      <c r="EL11" s="13" t="str">
        <f t="shared" si="2"/>
        <v/>
      </c>
      <c r="EM11" s="13" t="str">
        <f t="shared" si="2"/>
        <v/>
      </c>
      <c r="EN11" s="13" t="str">
        <f t="shared" si="2"/>
        <v/>
      </c>
      <c r="EO11" s="13" t="str">
        <f t="shared" si="2"/>
        <v/>
      </c>
      <c r="EP11" s="13" t="str">
        <f t="shared" si="2"/>
        <v/>
      </c>
      <c r="EQ11" s="13" t="str">
        <f t="shared" si="2"/>
        <v/>
      </c>
      <c r="ER11" s="13" t="str">
        <f t="shared" si="2"/>
        <v/>
      </c>
      <c r="ES11" s="13" t="str">
        <f t="shared" si="2"/>
        <v/>
      </c>
      <c r="ET11" s="13" t="str">
        <f t="shared" si="2"/>
        <v/>
      </c>
      <c r="EU11" s="13" t="str">
        <f t="shared" si="2"/>
        <v/>
      </c>
      <c r="EV11" s="13" t="str">
        <f t="shared" si="2"/>
        <v/>
      </c>
      <c r="EW11" s="13" t="str">
        <f t="shared" si="2"/>
        <v/>
      </c>
      <c r="EX11" s="13" t="str">
        <f t="shared" si="2"/>
        <v/>
      </c>
      <c r="EY11" s="13" t="str">
        <f t="shared" si="2"/>
        <v/>
      </c>
      <c r="EZ11" s="13" t="str">
        <f t="shared" si="2"/>
        <v/>
      </c>
      <c r="FA11" s="13" t="str">
        <f t="shared" si="2"/>
        <v/>
      </c>
      <c r="FB11" s="13" t="str">
        <f t="shared" si="2"/>
        <v/>
      </c>
      <c r="FC11" s="13" t="str">
        <f t="shared" si="2"/>
        <v/>
      </c>
      <c r="FD11" s="13" t="str">
        <f t="shared" si="2"/>
        <v/>
      </c>
      <c r="FE11" s="13" t="str">
        <f t="shared" si="2"/>
        <v/>
      </c>
      <c r="FF11" s="13" t="str">
        <f t="shared" si="2"/>
        <v/>
      </c>
      <c r="FG11" s="13" t="str">
        <f t="shared" si="2"/>
        <v/>
      </c>
      <c r="FH11" s="13" t="str">
        <f t="shared" si="2"/>
        <v/>
      </c>
      <c r="FI11" s="13" t="str">
        <f t="shared" si="2"/>
        <v/>
      </c>
      <c r="FJ11" s="13" t="str">
        <f t="shared" si="2"/>
        <v/>
      </c>
      <c r="FK11" s="13" t="str">
        <f t="shared" si="2"/>
        <v/>
      </c>
      <c r="FL11" s="13" t="str">
        <f t="shared" si="2"/>
        <v/>
      </c>
      <c r="FM11" s="13" t="str">
        <f t="shared" si="2"/>
        <v/>
      </c>
      <c r="FN11" s="13" t="str">
        <f t="shared" si="2"/>
        <v/>
      </c>
      <c r="FO11" s="13" t="str">
        <f t="shared" si="2"/>
        <v/>
      </c>
      <c r="FP11" s="13" t="str">
        <f t="shared" si="2"/>
        <v/>
      </c>
      <c r="FQ11" s="13" t="str">
        <f t="shared" si="2"/>
        <v/>
      </c>
      <c r="FR11" s="13" t="str">
        <f t="shared" si="2"/>
        <v/>
      </c>
      <c r="FS11" s="13" t="str">
        <f t="shared" si="2"/>
        <v/>
      </c>
      <c r="FT11" s="13" t="str">
        <f t="shared" si="2"/>
        <v/>
      </c>
      <c r="FU11" s="13" t="str">
        <f t="shared" si="2"/>
        <v/>
      </c>
      <c r="FV11" s="13" t="str">
        <f t="shared" si="2"/>
        <v/>
      </c>
      <c r="FW11" s="13" t="str">
        <f t="shared" si="2"/>
        <v/>
      </c>
      <c r="FX11" s="13" t="str">
        <f t="shared" si="2"/>
        <v/>
      </c>
      <c r="FY11" s="13" t="str">
        <f t="shared" si="2"/>
        <v/>
      </c>
      <c r="FZ11" s="13" t="str">
        <f t="shared" si="2"/>
        <v/>
      </c>
      <c r="GA11" s="13" t="str">
        <f t="shared" si="2"/>
        <v/>
      </c>
      <c r="GB11" s="13" t="str">
        <f t="shared" si="2"/>
        <v/>
      </c>
      <c r="GC11" s="13" t="str">
        <f t="shared" si="2"/>
        <v/>
      </c>
      <c r="GD11" s="13" t="str">
        <f t="shared" si="2"/>
        <v/>
      </c>
      <c r="GE11" s="13" t="str">
        <f t="shared" si="2"/>
        <v/>
      </c>
      <c r="GF11" s="13" t="str">
        <f t="shared" si="2"/>
        <v/>
      </c>
      <c r="GG11" s="13" t="str">
        <f t="shared" si="2"/>
        <v/>
      </c>
      <c r="GH11" s="13" t="str">
        <f t="shared" si="2"/>
        <v/>
      </c>
      <c r="GI11" s="13" t="str">
        <f t="shared" si="2"/>
        <v/>
      </c>
      <c r="GJ11" s="13" t="str">
        <f t="shared" si="2"/>
        <v/>
      </c>
      <c r="GK11" s="13" t="str">
        <f t="shared" si="2"/>
        <v/>
      </c>
      <c r="GL11" s="13" t="str">
        <f t="shared" si="2"/>
        <v/>
      </c>
      <c r="GM11" s="13" t="str">
        <f t="shared" ref="GM11:IX11" si="3">IF(AND((COLUMN()-1)&gt;31*($A$9-1),MONTH(DATE($A$7+INT(($A$9+1)/12),INT((COLUMN()-1)/31.001)+1,ROUNDUP(MOD(COLUMN()-1,31.001),0)))=ROUNDUP(MOD(1+$A$9-1,12.01),0)),ROUNDUP(MOD(COLUMN()-1,31.001),0),"")</f>
        <v/>
      </c>
      <c r="GN11" s="13" t="str">
        <f t="shared" si="3"/>
        <v/>
      </c>
      <c r="GO11" s="13" t="str">
        <f t="shared" si="3"/>
        <v/>
      </c>
      <c r="GP11" s="13" t="str">
        <f t="shared" si="3"/>
        <v/>
      </c>
      <c r="GQ11" s="13" t="str">
        <f t="shared" si="3"/>
        <v/>
      </c>
      <c r="GR11" s="13" t="str">
        <f t="shared" si="3"/>
        <v/>
      </c>
      <c r="GS11" s="13" t="str">
        <f t="shared" si="3"/>
        <v/>
      </c>
      <c r="GT11" s="13" t="str">
        <f t="shared" si="3"/>
        <v/>
      </c>
      <c r="GU11" s="13" t="str">
        <f t="shared" si="3"/>
        <v/>
      </c>
      <c r="GV11" s="13" t="str">
        <f t="shared" si="3"/>
        <v/>
      </c>
      <c r="GW11" s="13" t="str">
        <f t="shared" si="3"/>
        <v/>
      </c>
      <c r="GX11" s="13" t="str">
        <f t="shared" si="3"/>
        <v/>
      </c>
      <c r="GY11" s="13" t="str">
        <f t="shared" si="3"/>
        <v/>
      </c>
      <c r="GZ11" s="13" t="str">
        <f t="shared" si="3"/>
        <v/>
      </c>
      <c r="HA11" s="13" t="str">
        <f t="shared" si="3"/>
        <v/>
      </c>
      <c r="HB11" s="13" t="str">
        <f t="shared" si="3"/>
        <v/>
      </c>
      <c r="HC11" s="13" t="str">
        <f t="shared" si="3"/>
        <v/>
      </c>
      <c r="HD11" s="13" t="str">
        <f t="shared" si="3"/>
        <v/>
      </c>
      <c r="HE11" s="13" t="str">
        <f t="shared" si="3"/>
        <v/>
      </c>
      <c r="HF11" s="13" t="str">
        <f t="shared" si="3"/>
        <v/>
      </c>
      <c r="HG11" s="13" t="str">
        <f t="shared" si="3"/>
        <v/>
      </c>
      <c r="HH11" s="13" t="str">
        <f t="shared" si="3"/>
        <v/>
      </c>
      <c r="HI11" s="13" t="str">
        <f t="shared" si="3"/>
        <v/>
      </c>
      <c r="HJ11" s="13" t="str">
        <f t="shared" si="3"/>
        <v/>
      </c>
      <c r="HK11" s="13" t="str">
        <f t="shared" si="3"/>
        <v/>
      </c>
      <c r="HL11" s="13" t="str">
        <f t="shared" si="3"/>
        <v/>
      </c>
      <c r="HM11" s="13" t="str">
        <f t="shared" si="3"/>
        <v/>
      </c>
      <c r="HN11" s="13" t="str">
        <f t="shared" si="3"/>
        <v/>
      </c>
      <c r="HO11" s="13" t="str">
        <f t="shared" si="3"/>
        <v/>
      </c>
      <c r="HP11" s="13" t="str">
        <f t="shared" si="3"/>
        <v/>
      </c>
      <c r="HQ11" s="13" t="str">
        <f t="shared" si="3"/>
        <v/>
      </c>
      <c r="HR11" s="13" t="str">
        <f t="shared" si="3"/>
        <v/>
      </c>
      <c r="HS11" s="13" t="str">
        <f t="shared" si="3"/>
        <v/>
      </c>
      <c r="HT11" s="13" t="str">
        <f t="shared" si="3"/>
        <v/>
      </c>
      <c r="HU11" s="13" t="str">
        <f t="shared" si="3"/>
        <v/>
      </c>
      <c r="HV11" s="13" t="str">
        <f t="shared" si="3"/>
        <v/>
      </c>
      <c r="HW11" s="13" t="str">
        <f t="shared" si="3"/>
        <v/>
      </c>
      <c r="HX11" s="13" t="str">
        <f t="shared" si="3"/>
        <v/>
      </c>
      <c r="HY11" s="13" t="str">
        <f t="shared" si="3"/>
        <v/>
      </c>
      <c r="HZ11" s="13" t="str">
        <f t="shared" si="3"/>
        <v/>
      </c>
      <c r="IA11" s="13" t="str">
        <f t="shared" si="3"/>
        <v/>
      </c>
      <c r="IB11" s="13" t="str">
        <f t="shared" si="3"/>
        <v/>
      </c>
      <c r="IC11" s="13" t="str">
        <f t="shared" si="3"/>
        <v/>
      </c>
      <c r="ID11" s="13" t="str">
        <f t="shared" si="3"/>
        <v/>
      </c>
      <c r="IE11" s="13" t="str">
        <f t="shared" si="3"/>
        <v/>
      </c>
      <c r="IF11" s="13" t="str">
        <f t="shared" si="3"/>
        <v/>
      </c>
      <c r="IG11" s="13" t="str">
        <f t="shared" si="3"/>
        <v/>
      </c>
      <c r="IH11" s="13" t="str">
        <f t="shared" si="3"/>
        <v/>
      </c>
      <c r="II11" s="13" t="str">
        <f t="shared" si="3"/>
        <v/>
      </c>
      <c r="IJ11" s="13" t="str">
        <f t="shared" si="3"/>
        <v/>
      </c>
      <c r="IK11" s="13" t="str">
        <f t="shared" si="3"/>
        <v/>
      </c>
      <c r="IL11" s="13" t="str">
        <f t="shared" si="3"/>
        <v/>
      </c>
      <c r="IM11" s="13" t="str">
        <f t="shared" si="3"/>
        <v/>
      </c>
      <c r="IN11" s="13" t="str">
        <f t="shared" si="3"/>
        <v/>
      </c>
      <c r="IO11" s="13" t="str">
        <f t="shared" si="3"/>
        <v/>
      </c>
      <c r="IP11" s="13" t="str">
        <f t="shared" si="3"/>
        <v/>
      </c>
      <c r="IQ11" s="13" t="str">
        <f t="shared" si="3"/>
        <v/>
      </c>
      <c r="IR11" s="13" t="str">
        <f t="shared" si="3"/>
        <v/>
      </c>
      <c r="IS11" s="13" t="str">
        <f t="shared" si="3"/>
        <v/>
      </c>
      <c r="IT11" s="13" t="str">
        <f t="shared" si="3"/>
        <v/>
      </c>
      <c r="IU11" s="13" t="str">
        <f t="shared" si="3"/>
        <v/>
      </c>
      <c r="IV11" s="13" t="str">
        <f t="shared" si="3"/>
        <v/>
      </c>
      <c r="IW11" s="13" t="str">
        <f t="shared" si="3"/>
        <v/>
      </c>
      <c r="IX11" s="13" t="str">
        <f t="shared" si="3"/>
        <v/>
      </c>
      <c r="IY11" s="13" t="str">
        <f t="shared" ref="IY11:LJ11" si="4">IF(AND((COLUMN()-1)&gt;31*($A$9-1),MONTH(DATE($A$7+INT(($A$9+1)/12),INT((COLUMN()-1)/31.001)+1,ROUNDUP(MOD(COLUMN()-1,31.001),0)))=ROUNDUP(MOD(1+$A$9-1,12.01),0)),ROUNDUP(MOD(COLUMN()-1,31.001),0),"")</f>
        <v/>
      </c>
      <c r="IZ11" s="13" t="str">
        <f t="shared" si="4"/>
        <v/>
      </c>
      <c r="JA11" s="13" t="str">
        <f t="shared" si="4"/>
        <v/>
      </c>
      <c r="JB11" s="13" t="str">
        <f t="shared" si="4"/>
        <v/>
      </c>
      <c r="JC11" s="13" t="str">
        <f t="shared" si="4"/>
        <v/>
      </c>
      <c r="JD11" s="13" t="str">
        <f t="shared" si="4"/>
        <v/>
      </c>
      <c r="JE11" s="13" t="str">
        <f t="shared" si="4"/>
        <v/>
      </c>
      <c r="JF11" s="13" t="str">
        <f t="shared" si="4"/>
        <v/>
      </c>
      <c r="JG11" s="13" t="str">
        <f t="shared" si="4"/>
        <v/>
      </c>
      <c r="JH11" s="13" t="str">
        <f t="shared" si="4"/>
        <v/>
      </c>
      <c r="JI11" s="13" t="str">
        <f t="shared" si="4"/>
        <v/>
      </c>
      <c r="JJ11" s="13" t="str">
        <f t="shared" si="4"/>
        <v/>
      </c>
      <c r="JK11" s="13" t="str">
        <f t="shared" si="4"/>
        <v/>
      </c>
      <c r="JL11" s="13" t="str">
        <f t="shared" si="4"/>
        <v/>
      </c>
      <c r="JM11" s="13" t="str">
        <f t="shared" si="4"/>
        <v/>
      </c>
      <c r="JN11" s="13" t="str">
        <f t="shared" si="4"/>
        <v/>
      </c>
      <c r="JO11" s="13" t="str">
        <f t="shared" si="4"/>
        <v/>
      </c>
      <c r="JP11" s="13" t="str">
        <f t="shared" si="4"/>
        <v/>
      </c>
      <c r="JQ11" s="13" t="str">
        <f t="shared" si="4"/>
        <v/>
      </c>
      <c r="JR11" s="13" t="str">
        <f t="shared" si="4"/>
        <v/>
      </c>
      <c r="JS11" s="13" t="str">
        <f t="shared" si="4"/>
        <v/>
      </c>
      <c r="JT11" s="13" t="str">
        <f t="shared" si="4"/>
        <v/>
      </c>
      <c r="JU11" s="13" t="str">
        <f t="shared" si="4"/>
        <v/>
      </c>
      <c r="JV11" s="13" t="str">
        <f t="shared" si="4"/>
        <v/>
      </c>
      <c r="JW11" s="13" t="str">
        <f t="shared" si="4"/>
        <v/>
      </c>
      <c r="JX11" s="13" t="str">
        <f t="shared" si="4"/>
        <v/>
      </c>
      <c r="JY11" s="13" t="str">
        <f t="shared" si="4"/>
        <v/>
      </c>
      <c r="JZ11" s="13" t="str">
        <f t="shared" si="4"/>
        <v/>
      </c>
      <c r="KA11" s="13" t="str">
        <f t="shared" si="4"/>
        <v/>
      </c>
      <c r="KB11" s="13" t="str">
        <f t="shared" si="4"/>
        <v/>
      </c>
      <c r="KC11" s="13" t="str">
        <f t="shared" si="4"/>
        <v/>
      </c>
      <c r="KD11" s="13" t="str">
        <f t="shared" si="4"/>
        <v/>
      </c>
      <c r="KE11" s="13" t="str">
        <f t="shared" si="4"/>
        <v/>
      </c>
      <c r="KF11" s="13" t="str">
        <f t="shared" si="4"/>
        <v/>
      </c>
      <c r="KG11" s="13" t="str">
        <f t="shared" si="4"/>
        <v/>
      </c>
      <c r="KH11" s="13" t="str">
        <f t="shared" si="4"/>
        <v/>
      </c>
      <c r="KI11" s="13" t="str">
        <f t="shared" si="4"/>
        <v/>
      </c>
      <c r="KJ11" s="13" t="str">
        <f t="shared" si="4"/>
        <v/>
      </c>
      <c r="KK11" s="13" t="str">
        <f t="shared" si="4"/>
        <v/>
      </c>
      <c r="KL11" s="13" t="str">
        <f t="shared" si="4"/>
        <v/>
      </c>
      <c r="KM11" s="13" t="str">
        <f t="shared" si="4"/>
        <v/>
      </c>
      <c r="KN11" s="13" t="str">
        <f t="shared" si="4"/>
        <v/>
      </c>
      <c r="KO11" s="13" t="str">
        <f t="shared" si="4"/>
        <v/>
      </c>
      <c r="KP11" s="13" t="str">
        <f t="shared" si="4"/>
        <v/>
      </c>
      <c r="KQ11" s="13" t="str">
        <f t="shared" si="4"/>
        <v/>
      </c>
      <c r="KR11" s="13" t="str">
        <f t="shared" si="4"/>
        <v/>
      </c>
      <c r="KS11" s="13" t="str">
        <f t="shared" si="4"/>
        <v/>
      </c>
      <c r="KT11" s="13" t="str">
        <f t="shared" si="4"/>
        <v/>
      </c>
      <c r="KU11" s="13" t="str">
        <f t="shared" si="4"/>
        <v/>
      </c>
      <c r="KV11" s="13" t="str">
        <f t="shared" si="4"/>
        <v/>
      </c>
      <c r="KW11" s="13" t="str">
        <f t="shared" si="4"/>
        <v/>
      </c>
      <c r="KX11" s="13" t="str">
        <f t="shared" si="4"/>
        <v/>
      </c>
      <c r="KY11" s="13" t="str">
        <f t="shared" si="4"/>
        <v/>
      </c>
      <c r="KZ11" s="13" t="str">
        <f t="shared" si="4"/>
        <v/>
      </c>
      <c r="LA11" s="13" t="str">
        <f t="shared" si="4"/>
        <v/>
      </c>
      <c r="LB11" s="13" t="str">
        <f t="shared" si="4"/>
        <v/>
      </c>
      <c r="LC11" s="13" t="str">
        <f t="shared" si="4"/>
        <v/>
      </c>
      <c r="LD11" s="13" t="str">
        <f t="shared" si="4"/>
        <v/>
      </c>
      <c r="LE11" s="13" t="str">
        <f t="shared" si="4"/>
        <v/>
      </c>
      <c r="LF11" s="13" t="str">
        <f t="shared" si="4"/>
        <v/>
      </c>
      <c r="LG11" s="13" t="str">
        <f t="shared" si="4"/>
        <v/>
      </c>
      <c r="LH11" s="13" t="str">
        <f t="shared" si="4"/>
        <v/>
      </c>
      <c r="LI11" s="13" t="str">
        <f t="shared" si="4"/>
        <v/>
      </c>
      <c r="LJ11" s="13" t="str">
        <f t="shared" si="4"/>
        <v/>
      </c>
      <c r="LK11" s="13" t="str">
        <f t="shared" ref="LK11:NI11" si="5">IF(AND((COLUMN()-1)&gt;31*($A$9-1),MONTH(DATE($A$7+INT(($A$9+1)/12),INT((COLUMN()-1)/31.001)+1,ROUNDUP(MOD(COLUMN()-1,31.001),0)))=ROUNDUP(MOD(1+$A$9-1,12.01),0)),ROUNDUP(MOD(COLUMN()-1,31.001),0),"")</f>
        <v/>
      </c>
      <c r="LL11" s="13" t="str">
        <f t="shared" si="5"/>
        <v/>
      </c>
      <c r="LM11" s="13" t="str">
        <f t="shared" si="5"/>
        <v/>
      </c>
      <c r="LN11" s="13" t="str">
        <f t="shared" si="5"/>
        <v/>
      </c>
      <c r="LO11" s="13" t="str">
        <f t="shared" si="5"/>
        <v/>
      </c>
      <c r="LP11" s="13" t="str">
        <f t="shared" si="5"/>
        <v/>
      </c>
      <c r="LQ11" s="13" t="str">
        <f t="shared" si="5"/>
        <v/>
      </c>
      <c r="LR11" s="13" t="str">
        <f t="shared" si="5"/>
        <v/>
      </c>
      <c r="LS11" s="13" t="str">
        <f t="shared" si="5"/>
        <v/>
      </c>
      <c r="LT11" s="13" t="str">
        <f t="shared" si="5"/>
        <v/>
      </c>
      <c r="LU11" s="13" t="str">
        <f t="shared" si="5"/>
        <v/>
      </c>
      <c r="LV11" s="13" t="str">
        <f t="shared" si="5"/>
        <v/>
      </c>
      <c r="LW11" s="13" t="str">
        <f t="shared" si="5"/>
        <v/>
      </c>
      <c r="LX11" s="13" t="str">
        <f t="shared" si="5"/>
        <v/>
      </c>
      <c r="LY11" s="13" t="str">
        <f t="shared" si="5"/>
        <v/>
      </c>
      <c r="LZ11" s="13" t="str">
        <f t="shared" si="5"/>
        <v/>
      </c>
      <c r="MA11" s="13" t="str">
        <f t="shared" si="5"/>
        <v/>
      </c>
      <c r="MB11" s="13" t="str">
        <f t="shared" si="5"/>
        <v/>
      </c>
      <c r="MC11" s="13" t="str">
        <f t="shared" si="5"/>
        <v/>
      </c>
      <c r="MD11" s="13" t="str">
        <f t="shared" si="5"/>
        <v/>
      </c>
      <c r="ME11" s="13">
        <f t="shared" si="5"/>
        <v>1</v>
      </c>
      <c r="MF11" s="13">
        <f t="shared" si="5"/>
        <v>2</v>
      </c>
      <c r="MG11" s="13">
        <f t="shared" si="5"/>
        <v>3</v>
      </c>
      <c r="MH11" s="13">
        <f t="shared" si="5"/>
        <v>4</v>
      </c>
      <c r="MI11" s="13">
        <f t="shared" si="5"/>
        <v>5</v>
      </c>
      <c r="MJ11" s="13">
        <f t="shared" si="5"/>
        <v>6</v>
      </c>
      <c r="MK11" s="13">
        <f t="shared" si="5"/>
        <v>7</v>
      </c>
      <c r="ML11" s="13">
        <f t="shared" si="5"/>
        <v>8</v>
      </c>
      <c r="MM11" s="13">
        <f t="shared" si="5"/>
        <v>9</v>
      </c>
      <c r="MN11" s="13">
        <f t="shared" si="5"/>
        <v>10</v>
      </c>
      <c r="MO11" s="13">
        <f t="shared" si="5"/>
        <v>11</v>
      </c>
      <c r="MP11" s="13">
        <f t="shared" si="5"/>
        <v>12</v>
      </c>
      <c r="MQ11" s="13">
        <f t="shared" si="5"/>
        <v>13</v>
      </c>
      <c r="MR11" s="13">
        <f t="shared" si="5"/>
        <v>14</v>
      </c>
      <c r="MS11" s="13">
        <f t="shared" si="5"/>
        <v>15</v>
      </c>
      <c r="MT11" s="13">
        <f t="shared" si="5"/>
        <v>16</v>
      </c>
      <c r="MU11" s="13">
        <f t="shared" si="5"/>
        <v>17</v>
      </c>
      <c r="MV11" s="13">
        <f t="shared" si="5"/>
        <v>18</v>
      </c>
      <c r="MW11" s="13">
        <f t="shared" si="5"/>
        <v>19</v>
      </c>
      <c r="MX11" s="13">
        <f t="shared" si="5"/>
        <v>20</v>
      </c>
      <c r="MY11" s="13">
        <f t="shared" si="5"/>
        <v>21</v>
      </c>
      <c r="MZ11" s="13">
        <f t="shared" si="5"/>
        <v>22</v>
      </c>
      <c r="NA11" s="13">
        <f t="shared" si="5"/>
        <v>23</v>
      </c>
      <c r="NB11" s="13">
        <f t="shared" si="5"/>
        <v>24</v>
      </c>
      <c r="NC11" s="13">
        <f t="shared" si="5"/>
        <v>25</v>
      </c>
      <c r="ND11" s="13">
        <f t="shared" si="5"/>
        <v>26</v>
      </c>
      <c r="NE11" s="13">
        <f t="shared" si="5"/>
        <v>27</v>
      </c>
      <c r="NF11" s="13">
        <f t="shared" si="5"/>
        <v>28</v>
      </c>
      <c r="NG11" s="13">
        <f t="shared" si="5"/>
        <v>29</v>
      </c>
      <c r="NH11" s="13">
        <f t="shared" si="5"/>
        <v>30</v>
      </c>
      <c r="NI11" s="28">
        <f t="shared" si="5"/>
        <v>31</v>
      </c>
      <c r="NJ11" s="29"/>
      <c r="NK11" s="39"/>
      <c r="NL11" s="48"/>
      <c r="NM11" s="49"/>
      <c r="NN11" s="52" t="s">
        <v>28</v>
      </c>
      <c r="NO11" s="53" t="s">
        <v>29</v>
      </c>
      <c r="NP11" s="44"/>
      <c r="NQ11" s="56" t="s">
        <v>33</v>
      </c>
      <c r="NR11" s="57"/>
      <c r="NS11" s="57"/>
      <c r="NT11" s="57"/>
    </row>
    <row r="12" spans="1:756" s="78" customFormat="1" ht="23.25" customHeight="1" x14ac:dyDescent="0.35">
      <c r="A12" s="67" t="s">
        <v>24</v>
      </c>
      <c r="B12" s="67" t="str">
        <f>IF(B$11="","",VLOOKUP(WEEKDAY(DATE($A$7,$A$9+1-1,B11),2),Auxiliar!$D$1:$E$7,2,0))</f>
        <v/>
      </c>
      <c r="C12" s="67" t="str">
        <f>IF(C$11="","",VLOOKUP(WEEKDAY(DATE($A$7,$A$9+1-1,C11),2),Auxiliar!$D$1:$E$7,2,0))</f>
        <v/>
      </c>
      <c r="D12" s="67" t="str">
        <f>IF(D$11="","",VLOOKUP(WEEKDAY(DATE($A$7,$A$9+1-1,D11),2),Auxiliar!$D$1:$E$7,2,0))</f>
        <v/>
      </c>
      <c r="E12" s="67" t="str">
        <f>IF(E$11="","",VLOOKUP(WEEKDAY(DATE($A$7,$A$9+1-1,E11),2),Auxiliar!$D$1:$E$7,2,0))</f>
        <v/>
      </c>
      <c r="F12" s="67" t="str">
        <f>IF(F$11="","",VLOOKUP(WEEKDAY(DATE($A$7,$A$9+1-1,F11),2),Auxiliar!$D$1:$E$7,2,0))</f>
        <v/>
      </c>
      <c r="G12" s="67" t="str">
        <f>IF(G$11="","",VLOOKUP(WEEKDAY(DATE($A$7,$A$9+1-1,G11),2),Auxiliar!$D$1:$E$7,2,0))</f>
        <v/>
      </c>
      <c r="H12" s="67" t="str">
        <f>IF(H$11="","",VLOOKUP(WEEKDAY(DATE($A$7,$A$9+1-1,H11),2),Auxiliar!$D$1:$E$7,2,0))</f>
        <v/>
      </c>
      <c r="I12" s="67" t="str">
        <f>IF(I$11="","",VLOOKUP(WEEKDAY(DATE($A$7,$A$9+1-1,I11),2),Auxiliar!$D$1:$E$7,2,0))</f>
        <v/>
      </c>
      <c r="J12" s="67" t="str">
        <f>IF(J$11="","",VLOOKUP(WEEKDAY(DATE($A$7,$A$9+1-1,J11),2),Auxiliar!$D$1:$E$7,2,0))</f>
        <v/>
      </c>
      <c r="K12" s="67" t="str">
        <f>IF(K$11="","",VLOOKUP(WEEKDAY(DATE($A$7,$A$9+1-1,K11),2),Auxiliar!$D$1:$E$7,2,0))</f>
        <v/>
      </c>
      <c r="L12" s="67" t="str">
        <f>IF(L$11="","",VLOOKUP(WEEKDAY(DATE($A$7,$A$9+1-1,L11),2),Auxiliar!$D$1:$E$7,2,0))</f>
        <v/>
      </c>
      <c r="M12" s="67" t="str">
        <f>IF(M$11="","",VLOOKUP(WEEKDAY(DATE($A$7,$A$9+1-1,M11),2),Auxiliar!$D$1:$E$7,2,0))</f>
        <v/>
      </c>
      <c r="N12" s="67" t="str">
        <f>IF(N$11="","",VLOOKUP(WEEKDAY(DATE($A$7,$A$9+1-1,N11),2),Auxiliar!$D$1:$E$7,2,0))</f>
        <v/>
      </c>
      <c r="O12" s="67" t="str">
        <f>IF(O$11="","",VLOOKUP(WEEKDAY(DATE($A$7,$A$9+1-1,O11),2),Auxiliar!$D$1:$E$7,2,0))</f>
        <v/>
      </c>
      <c r="P12" s="67" t="str">
        <f>IF(P$11="","",VLOOKUP(WEEKDAY(DATE($A$7,$A$9+1-1,P11),2),Auxiliar!$D$1:$E$7,2,0))</f>
        <v/>
      </c>
      <c r="Q12" s="67" t="str">
        <f>IF(Q$11="","",VLOOKUP(WEEKDAY(DATE($A$7,$A$9+1-1,Q11),2),Auxiliar!$D$1:$E$7,2,0))</f>
        <v/>
      </c>
      <c r="R12" s="67" t="str">
        <f>IF(R$11="","",VLOOKUP(WEEKDAY(DATE($A$7,$A$9+1-1,R11),2),Auxiliar!$D$1:$E$7,2,0))</f>
        <v/>
      </c>
      <c r="S12" s="67" t="str">
        <f>IF(S$11="","",VLOOKUP(WEEKDAY(DATE($A$7,$A$9+1-1,S11),2),Auxiliar!$D$1:$E$7,2,0))</f>
        <v/>
      </c>
      <c r="T12" s="67" t="str">
        <f>IF(T$11="","",VLOOKUP(WEEKDAY(DATE($A$7,$A$9+1-1,T11),2),Auxiliar!$D$1:$E$7,2,0))</f>
        <v/>
      </c>
      <c r="U12" s="67" t="str">
        <f>IF(U$11="","",VLOOKUP(WEEKDAY(DATE($A$7,$A$9+1-1,U11),2),Auxiliar!$D$1:$E$7,2,0))</f>
        <v/>
      </c>
      <c r="V12" s="67" t="str">
        <f>IF(V$11="","",VLOOKUP(WEEKDAY(DATE($A$7,$A$9+1-1,V11),2),Auxiliar!$D$1:$E$7,2,0))</f>
        <v/>
      </c>
      <c r="W12" s="67" t="str">
        <f>IF(W$11="","",VLOOKUP(WEEKDAY(DATE($A$7,$A$9+1-1,W11),2),Auxiliar!$D$1:$E$7,2,0))</f>
        <v/>
      </c>
      <c r="X12" s="67" t="str">
        <f>IF(X$11="","",VLOOKUP(WEEKDAY(DATE($A$7,$A$9+1-1,X11),2),Auxiliar!$D$1:$E$7,2,0))</f>
        <v/>
      </c>
      <c r="Y12" s="67" t="str">
        <f>IF(Y$11="","",VLOOKUP(WEEKDAY(DATE($A$7,$A$9+1-1,Y11),2),Auxiliar!$D$1:$E$7,2,0))</f>
        <v/>
      </c>
      <c r="Z12" s="67" t="str">
        <f>IF(Z$11="","",VLOOKUP(WEEKDAY(DATE($A$7,$A$9+1-1,Z11),2),Auxiliar!$D$1:$E$7,2,0))</f>
        <v/>
      </c>
      <c r="AA12" s="67" t="str">
        <f>IF(AA$11="","",VLOOKUP(WEEKDAY(DATE($A$7,$A$9+1-1,AA11),2),Auxiliar!$D$1:$E$7,2,0))</f>
        <v/>
      </c>
      <c r="AB12" s="67" t="str">
        <f>IF(AB$11="","",VLOOKUP(WEEKDAY(DATE($A$7,$A$9+1-1,AB11),2),Auxiliar!$D$1:$E$7,2,0))</f>
        <v/>
      </c>
      <c r="AC12" s="67" t="str">
        <f>IF(AC$11="","",VLOOKUP(WEEKDAY(DATE($A$7,$A$9+1-1,AC11),2),Auxiliar!$D$1:$E$7,2,0))</f>
        <v/>
      </c>
      <c r="AD12" s="67" t="str">
        <f>IF(AD$11="","",VLOOKUP(WEEKDAY(DATE($A$7,$A$9+1-1,AD11),2),Auxiliar!$D$1:$E$7,2,0))</f>
        <v/>
      </c>
      <c r="AE12" s="67" t="str">
        <f>IF(AE$11="","",VLOOKUP(WEEKDAY(DATE($A$7,$A$9+1-1,AE11),2),Auxiliar!$D$1:$E$7,2,0))</f>
        <v/>
      </c>
      <c r="AF12" s="67" t="str">
        <f>IF(AF$11="","",VLOOKUP(WEEKDAY(DATE($A$7,$A$9+1-1,AF11),2),Auxiliar!$D$1:$E$7,2,0))</f>
        <v/>
      </c>
      <c r="AG12" s="67" t="str">
        <f>IF(AG$11="","",VLOOKUP(WEEKDAY(DATE($A$7,$A$9+1-1,AG11),2),Auxiliar!$D$1:$E$7,2,0))</f>
        <v/>
      </c>
      <c r="AH12" s="67" t="str">
        <f>IF(AH$11="","",VLOOKUP(WEEKDAY(DATE($A$7,$A$9+1-1,AH11),2),Auxiliar!$D$1:$E$7,2,0))</f>
        <v/>
      </c>
      <c r="AI12" s="67" t="str">
        <f>IF(AI$11="","",VLOOKUP(WEEKDAY(DATE($A$7,$A$9+1-1,AI11),2),Auxiliar!$D$1:$E$7,2,0))</f>
        <v/>
      </c>
      <c r="AJ12" s="67" t="str">
        <f>IF(AJ$11="","",VLOOKUP(WEEKDAY(DATE($A$7,$A$9+1-1,AJ11),2),Auxiliar!$D$1:$E$7,2,0))</f>
        <v/>
      </c>
      <c r="AK12" s="67" t="str">
        <f>IF(AK$11="","",VLOOKUP(WEEKDAY(DATE($A$7,$A$9+1-1,AK11),2),Auxiliar!$D$1:$E$7,2,0))</f>
        <v/>
      </c>
      <c r="AL12" s="67" t="str">
        <f>IF(AL$11="","",VLOOKUP(WEEKDAY(DATE($A$7,$A$9+1-1,AL11),2),Auxiliar!$D$1:$E$7,2,0))</f>
        <v/>
      </c>
      <c r="AM12" s="67" t="str">
        <f>IF(AM$11="","",VLOOKUP(WEEKDAY(DATE($A$7,$A$9+1-1,AM11),2),Auxiliar!$D$1:$E$7,2,0))</f>
        <v/>
      </c>
      <c r="AN12" s="67" t="str">
        <f>IF(AN$11="","",VLOOKUP(WEEKDAY(DATE($A$7,$A$9+1-1,AN11),2),Auxiliar!$D$1:$E$7,2,0))</f>
        <v/>
      </c>
      <c r="AO12" s="67" t="str">
        <f>IF(AO$11="","",VLOOKUP(WEEKDAY(DATE($A$7,$A$9+1-1,AO11),2),Auxiliar!$D$1:$E$7,2,0))</f>
        <v/>
      </c>
      <c r="AP12" s="67" t="str">
        <f>IF(AP$11="","",VLOOKUP(WEEKDAY(DATE($A$7,$A$9+1-1,AP11),2),Auxiliar!$D$1:$E$7,2,0))</f>
        <v/>
      </c>
      <c r="AQ12" s="67" t="str">
        <f>IF(AQ$11="","",VLOOKUP(WEEKDAY(DATE($A$7,$A$9+1-1,AQ11),2),Auxiliar!$D$1:$E$7,2,0))</f>
        <v/>
      </c>
      <c r="AR12" s="67" t="str">
        <f>IF(AR$11="","",VLOOKUP(WEEKDAY(DATE($A$7,$A$9+1-1,AR11),2),Auxiliar!$D$1:$E$7,2,0))</f>
        <v/>
      </c>
      <c r="AS12" s="67" t="str">
        <f>IF(AS$11="","",VLOOKUP(WEEKDAY(DATE($A$7,$A$9+1-1,AS11),2),Auxiliar!$D$1:$E$7,2,0))</f>
        <v/>
      </c>
      <c r="AT12" s="67" t="str">
        <f>IF(AT$11="","",VLOOKUP(WEEKDAY(DATE($A$7,$A$9+1-1,AT11),2),Auxiliar!$D$1:$E$7,2,0))</f>
        <v/>
      </c>
      <c r="AU12" s="67" t="str">
        <f>IF(AU$11="","",VLOOKUP(WEEKDAY(DATE($A$7,$A$9+1-1,AU11),2),Auxiliar!$D$1:$E$7,2,0))</f>
        <v/>
      </c>
      <c r="AV12" s="67" t="str">
        <f>IF(AV$11="","",VLOOKUP(WEEKDAY(DATE($A$7,$A$9+1-1,AV11),2),Auxiliar!$D$1:$E$7,2,0))</f>
        <v/>
      </c>
      <c r="AW12" s="67" t="str">
        <f>IF(AW$11="","",VLOOKUP(WEEKDAY(DATE($A$7,$A$9+1-1,AW11),2),Auxiliar!$D$1:$E$7,2,0))</f>
        <v/>
      </c>
      <c r="AX12" s="67" t="str">
        <f>IF(AX$11="","",VLOOKUP(WEEKDAY(DATE($A$7,$A$9+1-1,AX11),2),Auxiliar!$D$1:$E$7,2,0))</f>
        <v/>
      </c>
      <c r="AY12" s="67" t="str">
        <f>IF(AY$11="","",VLOOKUP(WEEKDAY(DATE($A$7,$A$9+1-1,AY11),2),Auxiliar!$D$1:$E$7,2,0))</f>
        <v/>
      </c>
      <c r="AZ12" s="67" t="str">
        <f>IF(AZ$11="","",VLOOKUP(WEEKDAY(DATE($A$7,$A$9+1-1,AZ11),2),Auxiliar!$D$1:$E$7,2,0))</f>
        <v/>
      </c>
      <c r="BA12" s="67" t="str">
        <f>IF(BA$11="","",VLOOKUP(WEEKDAY(DATE($A$7,$A$9+1-1,BA11),2),Auxiliar!$D$1:$E$7,2,0))</f>
        <v/>
      </c>
      <c r="BB12" s="67" t="str">
        <f>IF(BB$11="","",VLOOKUP(WEEKDAY(DATE($A$7,$A$9+1-1,BB11),2),Auxiliar!$D$1:$E$7,2,0))</f>
        <v/>
      </c>
      <c r="BC12" s="67" t="str">
        <f>IF(BC$11="","",VLOOKUP(WEEKDAY(DATE($A$7,$A$9+1-1,BC11),2),Auxiliar!$D$1:$E$7,2,0))</f>
        <v/>
      </c>
      <c r="BD12" s="67" t="str">
        <f>IF(BD$11="","",VLOOKUP(WEEKDAY(DATE($A$7,$A$9+1-1,BD11),2),Auxiliar!$D$1:$E$7,2,0))</f>
        <v/>
      </c>
      <c r="BE12" s="67" t="str">
        <f>IF(BE$11="","",VLOOKUP(WEEKDAY(DATE($A$7,$A$9+1-1,BE11),2),Auxiliar!$D$1:$E$7,2,0))</f>
        <v/>
      </c>
      <c r="BF12" s="67" t="str">
        <f>IF(BF$11="","",VLOOKUP(WEEKDAY(DATE($A$7,$A$9+1-1,BF11),2),Auxiliar!$D$1:$E$7,2,0))</f>
        <v/>
      </c>
      <c r="BG12" s="67" t="str">
        <f>IF(BG$11="","",VLOOKUP(WEEKDAY(DATE($A$7,$A$9+1-1,BG11),2),Auxiliar!$D$1:$E$7,2,0))</f>
        <v/>
      </c>
      <c r="BH12" s="67" t="str">
        <f>IF(BH$11="","",VLOOKUP(WEEKDAY(DATE($A$7,$A$9+1-1,BH11),2),Auxiliar!$D$1:$E$7,2,0))</f>
        <v/>
      </c>
      <c r="BI12" s="67" t="str">
        <f>IF(BI$11="","",VLOOKUP(WEEKDAY(DATE($A$7,$A$9+1-1,BI11),2),Auxiliar!$D$1:$E$7,2,0))</f>
        <v/>
      </c>
      <c r="BJ12" s="67" t="str">
        <f>IF(BJ$11="","",VLOOKUP(WEEKDAY(DATE($A$7,$A$9+1-1,BJ11),2),Auxiliar!$D$1:$E$7,2,0))</f>
        <v/>
      </c>
      <c r="BK12" s="67" t="str">
        <f>IF(BK$11="","",VLOOKUP(WEEKDAY(DATE($A$7,$A$9+1-1,BK11),2),Auxiliar!$D$1:$E$7,2,0))</f>
        <v/>
      </c>
      <c r="BL12" s="67" t="str">
        <f>IF(BL$11="","",VLOOKUP(WEEKDAY(DATE($A$7,$A$9+1-1,BL11),2),Auxiliar!$D$1:$E$7,2,0))</f>
        <v/>
      </c>
      <c r="BM12" s="67" t="str">
        <f>IF(BM$11="","",VLOOKUP(WEEKDAY(DATE($A$7,$A$9+1-1,BM11),2),Auxiliar!$D$1:$E$7,2,0))</f>
        <v/>
      </c>
      <c r="BN12" s="67" t="str">
        <f>IF(BN$11="","",VLOOKUP(WEEKDAY(DATE($A$7,$A$9+1-1,BN11),2),Auxiliar!$D$1:$E$7,2,0))</f>
        <v/>
      </c>
      <c r="BO12" s="67" t="str">
        <f>IF(BO$11="","",VLOOKUP(WEEKDAY(DATE($A$7,$A$9+1-1,BO11),2),Auxiliar!$D$1:$E$7,2,0))</f>
        <v/>
      </c>
      <c r="BP12" s="67" t="str">
        <f>IF(BP$11="","",VLOOKUP(WEEKDAY(DATE($A$7,$A$9+1-1,BP11),2),Auxiliar!$D$1:$E$7,2,0))</f>
        <v/>
      </c>
      <c r="BQ12" s="67" t="str">
        <f>IF(BQ$11="","",VLOOKUP(WEEKDAY(DATE($A$7,$A$9+1-1,BQ11),2),Auxiliar!$D$1:$E$7,2,0))</f>
        <v/>
      </c>
      <c r="BR12" s="67" t="str">
        <f>IF(BR$11="","",VLOOKUP(WEEKDAY(DATE($A$7,$A$9+1-1,BR11),2),Auxiliar!$D$1:$E$7,2,0))</f>
        <v/>
      </c>
      <c r="BS12" s="67" t="str">
        <f>IF(BS$11="","",VLOOKUP(WEEKDAY(DATE($A$7,$A$9+1-1,BS11),2),Auxiliar!$D$1:$E$7,2,0))</f>
        <v/>
      </c>
      <c r="BT12" s="67" t="str">
        <f>IF(BT$11="","",VLOOKUP(WEEKDAY(DATE($A$7,$A$9+1-1,BT11),2),Auxiliar!$D$1:$E$7,2,0))</f>
        <v/>
      </c>
      <c r="BU12" s="67" t="str">
        <f>IF(BU$11="","",VLOOKUP(WEEKDAY(DATE($A$7,$A$9+1-1,BU11),2),Auxiliar!$D$1:$E$7,2,0))</f>
        <v/>
      </c>
      <c r="BV12" s="67" t="str">
        <f>IF(BV$11="","",VLOOKUP(WEEKDAY(DATE($A$7,$A$9+1-1,BV11),2),Auxiliar!$D$1:$E$7,2,0))</f>
        <v/>
      </c>
      <c r="BW12" s="67" t="str">
        <f>IF(BW$11="","",VLOOKUP(WEEKDAY(DATE($A$7,$A$9+1-1,BW11),2),Auxiliar!$D$1:$E$7,2,0))</f>
        <v/>
      </c>
      <c r="BX12" s="67" t="str">
        <f>IF(BX$11="","",VLOOKUP(WEEKDAY(DATE($A$7,$A$9+1-1,BX11),2),Auxiliar!$D$1:$E$7,2,0))</f>
        <v/>
      </c>
      <c r="BY12" s="67" t="str">
        <f>IF(BY$11="","",VLOOKUP(WEEKDAY(DATE($A$7,$A$9+1-1,BY11),2),Auxiliar!$D$1:$E$7,2,0))</f>
        <v/>
      </c>
      <c r="BZ12" s="67" t="str">
        <f>IF(BZ$11="","",VLOOKUP(WEEKDAY(DATE($A$7,$A$9+1-1,BZ11),2),Auxiliar!$D$1:$E$7,2,0))</f>
        <v/>
      </c>
      <c r="CA12" s="67" t="str">
        <f>IF(CA$11="","",VLOOKUP(WEEKDAY(DATE($A$7,$A$9+1-1,CA11),2),Auxiliar!$D$1:$E$7,2,0))</f>
        <v/>
      </c>
      <c r="CB12" s="67" t="str">
        <f>IF(CB$11="","",VLOOKUP(WEEKDAY(DATE($A$7,$A$9+1-1,CB11),2),Auxiliar!$D$1:$E$7,2,0))</f>
        <v/>
      </c>
      <c r="CC12" s="67" t="str">
        <f>IF(CC$11="","",VLOOKUP(WEEKDAY(DATE($A$7,$A$9+1-1,CC11),2),Auxiliar!$D$1:$E$7,2,0))</f>
        <v/>
      </c>
      <c r="CD12" s="67" t="str">
        <f>IF(CD$11="","",VLOOKUP(WEEKDAY(DATE($A$7,$A$9+1-1,CD11),2),Auxiliar!$D$1:$E$7,2,0))</f>
        <v/>
      </c>
      <c r="CE12" s="67" t="str">
        <f>IF(CE$11="","",VLOOKUP(WEEKDAY(DATE($A$7,$A$9+1-1,CE11),2),Auxiliar!$D$1:$E$7,2,0))</f>
        <v/>
      </c>
      <c r="CF12" s="67" t="str">
        <f>IF(CF$11="","",VLOOKUP(WEEKDAY(DATE($A$7,$A$9+1-1,CF11),2),Auxiliar!$D$1:$E$7,2,0))</f>
        <v/>
      </c>
      <c r="CG12" s="67" t="str">
        <f>IF(CG$11="","",VLOOKUP(WEEKDAY(DATE($A$7,$A$9+1-1,CG11),2),Auxiliar!$D$1:$E$7,2,0))</f>
        <v/>
      </c>
      <c r="CH12" s="67" t="str">
        <f>IF(CH$11="","",VLOOKUP(WEEKDAY(DATE($A$7,$A$9+1-1,CH11),2),Auxiliar!$D$1:$E$7,2,0))</f>
        <v/>
      </c>
      <c r="CI12" s="67" t="str">
        <f>IF(CI$11="","",VLOOKUP(WEEKDAY(DATE($A$7,$A$9+1-1,CI11),2),Auxiliar!$D$1:$E$7,2,0))</f>
        <v/>
      </c>
      <c r="CJ12" s="67" t="str">
        <f>IF(CJ$11="","",VLOOKUP(WEEKDAY(DATE($A$7,$A$9+1-1,CJ11),2),Auxiliar!$D$1:$E$7,2,0))</f>
        <v/>
      </c>
      <c r="CK12" s="67" t="str">
        <f>IF(CK$11="","",VLOOKUP(WEEKDAY(DATE($A$7,$A$9+1-1,CK11),2),Auxiliar!$D$1:$E$7,2,0))</f>
        <v/>
      </c>
      <c r="CL12" s="67" t="str">
        <f>IF(CL$11="","",VLOOKUP(WEEKDAY(DATE($A$7,$A$9+1-1,CL11),2),Auxiliar!$D$1:$E$7,2,0))</f>
        <v/>
      </c>
      <c r="CM12" s="67" t="str">
        <f>IF(CM$11="","",VLOOKUP(WEEKDAY(DATE($A$7,$A$9+1-1,CM11),2),Auxiliar!$D$1:$E$7,2,0))</f>
        <v/>
      </c>
      <c r="CN12" s="67" t="str">
        <f>IF(CN$11="","",VLOOKUP(WEEKDAY(DATE($A$7,$A$9+1-1,CN11),2),Auxiliar!$D$1:$E$7,2,0))</f>
        <v/>
      </c>
      <c r="CO12" s="67" t="str">
        <f>IF(CO$11="","",VLOOKUP(WEEKDAY(DATE($A$7,$A$9+1-1,CO11),2),Auxiliar!$D$1:$E$7,2,0))</f>
        <v/>
      </c>
      <c r="CP12" s="67" t="str">
        <f>IF(CP$11="","",VLOOKUP(WEEKDAY(DATE($A$7,$A$9+1-1,CP11),2),Auxiliar!$D$1:$E$7,2,0))</f>
        <v/>
      </c>
      <c r="CQ12" s="67" t="str">
        <f>IF(CQ$11="","",VLOOKUP(WEEKDAY(DATE($A$7,$A$9+1-1,CQ11),2),Auxiliar!$D$1:$E$7,2,0))</f>
        <v/>
      </c>
      <c r="CR12" s="67" t="str">
        <f>IF(CR$11="","",VLOOKUP(WEEKDAY(DATE($A$7,$A$9+1-1,CR11),2),Auxiliar!$D$1:$E$7,2,0))</f>
        <v/>
      </c>
      <c r="CS12" s="67" t="str">
        <f>IF(CS$11="","",VLOOKUP(WEEKDAY(DATE($A$7,$A$9+1-1,CS11),2),Auxiliar!$D$1:$E$7,2,0))</f>
        <v/>
      </c>
      <c r="CT12" s="67" t="str">
        <f>IF(CT$11="","",VLOOKUP(WEEKDAY(DATE($A$7,$A$9+1-1,CT11),2),Auxiliar!$D$1:$E$7,2,0))</f>
        <v/>
      </c>
      <c r="CU12" s="67" t="str">
        <f>IF(CU$11="","",VLOOKUP(WEEKDAY(DATE($A$7,$A$9+1-1,CU11),2),Auxiliar!$D$1:$E$7,2,0))</f>
        <v/>
      </c>
      <c r="CV12" s="67" t="str">
        <f>IF(CV$11="","",VLOOKUP(WEEKDAY(DATE($A$7,$A$9+1-1,CV11),2),Auxiliar!$D$1:$E$7,2,0))</f>
        <v/>
      </c>
      <c r="CW12" s="67" t="str">
        <f>IF(CW$11="","",VLOOKUP(WEEKDAY(DATE($A$7,$A$9+1-1,CW11),2),Auxiliar!$D$1:$E$7,2,0))</f>
        <v/>
      </c>
      <c r="CX12" s="67" t="str">
        <f>IF(CX$11="","",VLOOKUP(WEEKDAY(DATE($A$7,$A$9+1-1,CX11),2),Auxiliar!$D$1:$E$7,2,0))</f>
        <v/>
      </c>
      <c r="CY12" s="67" t="str">
        <f>IF(CY$11="","",VLOOKUP(WEEKDAY(DATE($A$7,$A$9+1-1,CY11),2),Auxiliar!$D$1:$E$7,2,0))</f>
        <v/>
      </c>
      <c r="CZ12" s="67" t="str">
        <f>IF(CZ$11="","",VLOOKUP(WEEKDAY(DATE($A$7,$A$9+1-1,CZ11),2),Auxiliar!$D$1:$E$7,2,0))</f>
        <v/>
      </c>
      <c r="DA12" s="67" t="str">
        <f>IF(DA$11="","",VLOOKUP(WEEKDAY(DATE($A$7,$A$9+1-1,DA11),2),Auxiliar!$D$1:$E$7,2,0))</f>
        <v/>
      </c>
      <c r="DB12" s="67" t="str">
        <f>IF(DB$11="","",VLOOKUP(WEEKDAY(DATE($A$7,$A$9+1-1,DB11),2),Auxiliar!$D$1:$E$7,2,0))</f>
        <v/>
      </c>
      <c r="DC12" s="67" t="str">
        <f>IF(DC$11="","",VLOOKUP(WEEKDAY(DATE($A$7,$A$9+1-1,DC11),2),Auxiliar!$D$1:$E$7,2,0))</f>
        <v/>
      </c>
      <c r="DD12" s="67" t="str">
        <f>IF(DD$11="","",VLOOKUP(WEEKDAY(DATE($A$7,$A$9+1-1,DD11),2),Auxiliar!$D$1:$E$7,2,0))</f>
        <v/>
      </c>
      <c r="DE12" s="67" t="str">
        <f>IF(DE$11="","",VLOOKUP(WEEKDAY(DATE($A$7,$A$9+1-1,DE11),2),Auxiliar!$D$1:$E$7,2,0))</f>
        <v/>
      </c>
      <c r="DF12" s="67" t="str">
        <f>IF(DF$11="","",VLOOKUP(WEEKDAY(DATE($A$7,$A$9+1-1,DF11),2),Auxiliar!$D$1:$E$7,2,0))</f>
        <v/>
      </c>
      <c r="DG12" s="67" t="str">
        <f>IF(DG$11="","",VLOOKUP(WEEKDAY(DATE($A$7,$A$9+1-1,DG11),2),Auxiliar!$D$1:$E$7,2,0))</f>
        <v/>
      </c>
      <c r="DH12" s="67" t="str">
        <f>IF(DH$11="","",VLOOKUP(WEEKDAY(DATE($A$7,$A$9+1-1,DH11),2),Auxiliar!$D$1:$E$7,2,0))</f>
        <v/>
      </c>
      <c r="DI12" s="67" t="str">
        <f>IF(DI$11="","",VLOOKUP(WEEKDAY(DATE($A$7,$A$9+1-1,DI11),2),Auxiliar!$D$1:$E$7,2,0))</f>
        <v/>
      </c>
      <c r="DJ12" s="67" t="str">
        <f>IF(DJ$11="","",VLOOKUP(WEEKDAY(DATE($A$7,$A$9+1-1,DJ11),2),Auxiliar!$D$1:$E$7,2,0))</f>
        <v/>
      </c>
      <c r="DK12" s="67" t="str">
        <f>IF(DK$11="","",VLOOKUP(WEEKDAY(DATE($A$7,$A$9+1-1,DK11),2),Auxiliar!$D$1:$E$7,2,0))</f>
        <v/>
      </c>
      <c r="DL12" s="67" t="str">
        <f>IF(DL$11="","",VLOOKUP(WEEKDAY(DATE($A$7,$A$9+1-1,DL11),2),Auxiliar!$D$1:$E$7,2,0))</f>
        <v/>
      </c>
      <c r="DM12" s="67" t="str">
        <f>IF(DM$11="","",VLOOKUP(WEEKDAY(DATE($A$7,$A$9+1-1,DM11),2),Auxiliar!$D$1:$E$7,2,0))</f>
        <v/>
      </c>
      <c r="DN12" s="67" t="str">
        <f>IF(DN$11="","",VLOOKUP(WEEKDAY(DATE($A$7,$A$9+1-1,DN11),2),Auxiliar!$D$1:$E$7,2,0))</f>
        <v/>
      </c>
      <c r="DO12" s="67" t="str">
        <f>IF(DO$11="","",VLOOKUP(WEEKDAY(DATE($A$7,$A$9+1-1,DO11),2),Auxiliar!$D$1:$E$7,2,0))</f>
        <v/>
      </c>
      <c r="DP12" s="67" t="str">
        <f>IF(DP$11="","",VLOOKUP(WEEKDAY(DATE($A$7,$A$9+1-1,DP11),2),Auxiliar!$D$1:$E$7,2,0))</f>
        <v/>
      </c>
      <c r="DQ12" s="67" t="str">
        <f>IF(DQ$11="","",VLOOKUP(WEEKDAY(DATE($A$7,$A$9+1-1,DQ11),2),Auxiliar!$D$1:$E$7,2,0))</f>
        <v/>
      </c>
      <c r="DR12" s="67" t="str">
        <f>IF(DR$11="","",VLOOKUP(WEEKDAY(DATE($A$7,$A$9+1-1,DR11),2),Auxiliar!$D$1:$E$7,2,0))</f>
        <v/>
      </c>
      <c r="DS12" s="67" t="str">
        <f>IF(DS$11="","",VLOOKUP(WEEKDAY(DATE($A$7,$A$9+1-1,DS11),2),Auxiliar!$D$1:$E$7,2,0))</f>
        <v/>
      </c>
      <c r="DT12" s="67" t="str">
        <f>IF(DT$11="","",VLOOKUP(WEEKDAY(DATE($A$7,$A$9+1-1,DT11),2),Auxiliar!$D$1:$E$7,2,0))</f>
        <v/>
      </c>
      <c r="DU12" s="67" t="str">
        <f>IF(DU$11="","",VLOOKUP(WEEKDAY(DATE($A$7,$A$9+1-1,DU11),2),Auxiliar!$D$1:$E$7,2,0))</f>
        <v/>
      </c>
      <c r="DV12" s="67" t="str">
        <f>IF(DV$11="","",VLOOKUP(WEEKDAY(DATE($A$7,$A$9+1-1,DV11),2),Auxiliar!$D$1:$E$7,2,0))</f>
        <v/>
      </c>
      <c r="DW12" s="67" t="str">
        <f>IF(DW$11="","",VLOOKUP(WEEKDAY(DATE($A$7,$A$9+1-1,DW11),2),Auxiliar!$D$1:$E$7,2,0))</f>
        <v/>
      </c>
      <c r="DX12" s="67" t="str">
        <f>IF(DX$11="","",VLOOKUP(WEEKDAY(DATE($A$7,$A$9+1-1,DX11),2),Auxiliar!$D$1:$E$7,2,0))</f>
        <v/>
      </c>
      <c r="DY12" s="67" t="str">
        <f>IF(DY$11="","",VLOOKUP(WEEKDAY(DATE($A$7,$A$9+1-1,DY11),2),Auxiliar!$D$1:$E$7,2,0))</f>
        <v/>
      </c>
      <c r="DZ12" s="67" t="str">
        <f>IF(DZ$11="","",VLOOKUP(WEEKDAY(DATE($A$7,$A$9+1-1,DZ11),2),Auxiliar!$D$1:$E$7,2,0))</f>
        <v/>
      </c>
      <c r="EA12" s="67" t="str">
        <f>IF(EA$11="","",VLOOKUP(WEEKDAY(DATE($A$7,$A$9+1-1,EA11),2),Auxiliar!$D$1:$E$7,2,0))</f>
        <v/>
      </c>
      <c r="EB12" s="67" t="str">
        <f>IF(EB$11="","",VLOOKUP(WEEKDAY(DATE($A$7,$A$9+1-1,EB11),2),Auxiliar!$D$1:$E$7,2,0))</f>
        <v/>
      </c>
      <c r="EC12" s="67" t="str">
        <f>IF(EC$11="","",VLOOKUP(WEEKDAY(DATE($A$7,$A$9+1-1,EC11),2),Auxiliar!$D$1:$E$7,2,0))</f>
        <v/>
      </c>
      <c r="ED12" s="67" t="str">
        <f>IF(ED$11="","",VLOOKUP(WEEKDAY(DATE($A$7,$A$9+1-1,ED11),2),Auxiliar!$D$1:$E$7,2,0))</f>
        <v/>
      </c>
      <c r="EE12" s="67" t="str">
        <f>IF(EE$11="","",VLOOKUP(WEEKDAY(DATE($A$7,$A$9+1-1,EE11),2),Auxiliar!$D$1:$E$7,2,0))</f>
        <v/>
      </c>
      <c r="EF12" s="67" t="str">
        <f>IF(EF$11="","",VLOOKUP(WEEKDAY(DATE($A$7,$A$9+1-1,EF11),2),Auxiliar!$D$1:$E$7,2,0))</f>
        <v/>
      </c>
      <c r="EG12" s="67" t="str">
        <f>IF(EG$11="","",VLOOKUP(WEEKDAY(DATE($A$7,$A$9+1-1,EG11),2),Auxiliar!$D$1:$E$7,2,0))</f>
        <v/>
      </c>
      <c r="EH12" s="67" t="str">
        <f>IF(EH$11="","",VLOOKUP(WEEKDAY(DATE($A$7,$A$9+1-1,EH11),2),Auxiliar!$D$1:$E$7,2,0))</f>
        <v/>
      </c>
      <c r="EI12" s="67" t="str">
        <f>IF(EI$11="","",VLOOKUP(WEEKDAY(DATE($A$7,$A$9+1-1,EI11),2),Auxiliar!$D$1:$E$7,2,0))</f>
        <v/>
      </c>
      <c r="EJ12" s="67" t="str">
        <f>IF(EJ$11="","",VLOOKUP(WEEKDAY(DATE($A$7,$A$9+1-1,EJ11),2),Auxiliar!$D$1:$E$7,2,0))</f>
        <v/>
      </c>
      <c r="EK12" s="67" t="str">
        <f>IF(EK$11="","",VLOOKUP(WEEKDAY(DATE($A$7,$A$9+1-1,EK11),2),Auxiliar!$D$1:$E$7,2,0))</f>
        <v/>
      </c>
      <c r="EL12" s="67" t="str">
        <f>IF(EL$11="","",VLOOKUP(WEEKDAY(DATE($A$7,$A$9+1-1,EL11),2),Auxiliar!$D$1:$E$7,2,0))</f>
        <v/>
      </c>
      <c r="EM12" s="67" t="str">
        <f>IF(EM$11="","",VLOOKUP(WEEKDAY(DATE($A$7,$A$9+1-1,EM11),2),Auxiliar!$D$1:$E$7,2,0))</f>
        <v/>
      </c>
      <c r="EN12" s="67" t="str">
        <f>IF(EN$11="","",VLOOKUP(WEEKDAY(DATE($A$7,$A$9+1-1,EN11),2),Auxiliar!$D$1:$E$7,2,0))</f>
        <v/>
      </c>
      <c r="EO12" s="67" t="str">
        <f>IF(EO$11="","",VLOOKUP(WEEKDAY(DATE($A$7,$A$9+1-1,EO11),2),Auxiliar!$D$1:$E$7,2,0))</f>
        <v/>
      </c>
      <c r="EP12" s="67" t="str">
        <f>IF(EP$11="","",VLOOKUP(WEEKDAY(DATE($A$7,$A$9+1-1,EP11),2),Auxiliar!$D$1:$E$7,2,0))</f>
        <v/>
      </c>
      <c r="EQ12" s="67" t="str">
        <f>IF(EQ$11="","",VLOOKUP(WEEKDAY(DATE($A$7,$A$9+1-1,EQ11),2),Auxiliar!$D$1:$E$7,2,0))</f>
        <v/>
      </c>
      <c r="ER12" s="67" t="str">
        <f>IF(ER$11="","",VLOOKUP(WEEKDAY(DATE($A$7,$A$9+1-1,ER11),2),Auxiliar!$D$1:$E$7,2,0))</f>
        <v/>
      </c>
      <c r="ES12" s="67" t="str">
        <f>IF(ES$11="","",VLOOKUP(WEEKDAY(DATE($A$7,$A$9+1-1,ES11),2),Auxiliar!$D$1:$E$7,2,0))</f>
        <v/>
      </c>
      <c r="ET12" s="67" t="str">
        <f>IF(ET$11="","",VLOOKUP(WEEKDAY(DATE($A$7,$A$9+1-1,ET11),2),Auxiliar!$D$1:$E$7,2,0))</f>
        <v/>
      </c>
      <c r="EU12" s="67" t="str">
        <f>IF(EU$11="","",VLOOKUP(WEEKDAY(DATE($A$7,$A$9+1-1,EU11),2),Auxiliar!$D$1:$E$7,2,0))</f>
        <v/>
      </c>
      <c r="EV12" s="67" t="str">
        <f>IF(EV$11="","",VLOOKUP(WEEKDAY(DATE($A$7,$A$9+1-1,EV11),2),Auxiliar!$D$1:$E$7,2,0))</f>
        <v/>
      </c>
      <c r="EW12" s="67" t="str">
        <f>IF(EW$11="","",VLOOKUP(WEEKDAY(DATE($A$7,$A$9+1-1,EW11),2),Auxiliar!$D$1:$E$7,2,0))</f>
        <v/>
      </c>
      <c r="EX12" s="67" t="str">
        <f>IF(EX$11="","",VLOOKUP(WEEKDAY(DATE($A$7,$A$9+1-1,EX11),2),Auxiliar!$D$1:$E$7,2,0))</f>
        <v/>
      </c>
      <c r="EY12" s="67" t="str">
        <f>IF(EY$11="","",VLOOKUP(WEEKDAY(DATE($A$7,$A$9+1-1,EY11),2),Auxiliar!$D$1:$E$7,2,0))</f>
        <v/>
      </c>
      <c r="EZ12" s="67" t="str">
        <f>IF(EZ$11="","",VLOOKUP(WEEKDAY(DATE($A$7,$A$9+1-1,EZ11),2),Auxiliar!$D$1:$E$7,2,0))</f>
        <v/>
      </c>
      <c r="FA12" s="67" t="str">
        <f>IF(FA$11="","",VLOOKUP(WEEKDAY(DATE($A$7,$A$9+1-1,FA11),2),Auxiliar!$D$1:$E$7,2,0))</f>
        <v/>
      </c>
      <c r="FB12" s="67" t="str">
        <f>IF(FB$11="","",VLOOKUP(WEEKDAY(DATE($A$7,$A$9+1-1,FB11),2),Auxiliar!$D$1:$E$7,2,0))</f>
        <v/>
      </c>
      <c r="FC12" s="67" t="str">
        <f>IF(FC$11="","",VLOOKUP(WEEKDAY(DATE($A$7,$A$9+1-1,FC11),2),Auxiliar!$D$1:$E$7,2,0))</f>
        <v/>
      </c>
      <c r="FD12" s="67" t="str">
        <f>IF(FD$11="","",VLOOKUP(WEEKDAY(DATE($A$7,$A$9+1-1,FD11),2),Auxiliar!$D$1:$E$7,2,0))</f>
        <v/>
      </c>
      <c r="FE12" s="67" t="str">
        <f>IF(FE$11="","",VLOOKUP(WEEKDAY(DATE($A$7,$A$9+1-1,FE11),2),Auxiliar!$D$1:$E$7,2,0))</f>
        <v/>
      </c>
      <c r="FF12" s="67" t="str">
        <f>IF(FF$11="","",VLOOKUP(WEEKDAY(DATE($A$7,$A$9+1-1,FF11),2),Auxiliar!$D$1:$E$7,2,0))</f>
        <v/>
      </c>
      <c r="FG12" s="67" t="str">
        <f>IF(FG$11="","",VLOOKUP(WEEKDAY(DATE($A$7,$A$9+1-1,FG11),2),Auxiliar!$D$1:$E$7,2,0))</f>
        <v/>
      </c>
      <c r="FH12" s="67" t="str">
        <f>IF(FH$11="","",VLOOKUP(WEEKDAY(DATE($A$7,$A$9+1-1,FH11),2),Auxiliar!$D$1:$E$7,2,0))</f>
        <v/>
      </c>
      <c r="FI12" s="67" t="str">
        <f>IF(FI$11="","",VLOOKUP(WEEKDAY(DATE($A$7,$A$9+1-1,FI11),2),Auxiliar!$D$1:$E$7,2,0))</f>
        <v/>
      </c>
      <c r="FJ12" s="67" t="str">
        <f>IF(FJ$11="","",VLOOKUP(WEEKDAY(DATE($A$7,$A$9+1-1,FJ11),2),Auxiliar!$D$1:$E$7,2,0))</f>
        <v/>
      </c>
      <c r="FK12" s="67" t="str">
        <f>IF(FK$11="","",VLOOKUP(WEEKDAY(DATE($A$7,$A$9+1-1,FK11),2),Auxiliar!$D$1:$E$7,2,0))</f>
        <v/>
      </c>
      <c r="FL12" s="67" t="str">
        <f>IF(FL$11="","",VLOOKUP(WEEKDAY(DATE($A$7,$A$9+1-1,FL11),2),Auxiliar!$D$1:$E$7,2,0))</f>
        <v/>
      </c>
      <c r="FM12" s="67" t="str">
        <f>IF(FM$11="","",VLOOKUP(WEEKDAY(DATE($A$7,$A$9+1-1,FM11),2),Auxiliar!$D$1:$E$7,2,0))</f>
        <v/>
      </c>
      <c r="FN12" s="67" t="str">
        <f>IF(FN$11="","",VLOOKUP(WEEKDAY(DATE($A$7,$A$9+1-1,FN11),2),Auxiliar!$D$1:$E$7,2,0))</f>
        <v/>
      </c>
      <c r="FO12" s="67" t="str">
        <f>IF(FO$11="","",VLOOKUP(WEEKDAY(DATE($A$7,$A$9+1-1,FO11),2),Auxiliar!$D$1:$E$7,2,0))</f>
        <v/>
      </c>
      <c r="FP12" s="67" t="str">
        <f>IF(FP$11="","",VLOOKUP(WEEKDAY(DATE($A$7,$A$9+1-1,FP11),2),Auxiliar!$D$1:$E$7,2,0))</f>
        <v/>
      </c>
      <c r="FQ12" s="67" t="str">
        <f>IF(FQ$11="","",VLOOKUP(WEEKDAY(DATE($A$7,$A$9+1-1,FQ11),2),Auxiliar!$D$1:$E$7,2,0))</f>
        <v/>
      </c>
      <c r="FR12" s="67" t="str">
        <f>IF(FR$11="","",VLOOKUP(WEEKDAY(DATE($A$7,$A$9+1-1,FR11),2),Auxiliar!$D$1:$E$7,2,0))</f>
        <v/>
      </c>
      <c r="FS12" s="67" t="str">
        <f>IF(FS$11="","",VLOOKUP(WEEKDAY(DATE($A$7,$A$9+1-1,FS11),2),Auxiliar!$D$1:$E$7,2,0))</f>
        <v/>
      </c>
      <c r="FT12" s="67" t="str">
        <f>IF(FT$11="","",VLOOKUP(WEEKDAY(DATE($A$7,$A$9+1-1,FT11),2),Auxiliar!$D$1:$E$7,2,0))</f>
        <v/>
      </c>
      <c r="FU12" s="67" t="str">
        <f>IF(FU$11="","",VLOOKUP(WEEKDAY(DATE($A$7,$A$9+1-1,FU11),2),Auxiliar!$D$1:$E$7,2,0))</f>
        <v/>
      </c>
      <c r="FV12" s="67" t="str">
        <f>IF(FV$11="","",VLOOKUP(WEEKDAY(DATE($A$7,$A$9+1-1,FV11),2),Auxiliar!$D$1:$E$7,2,0))</f>
        <v/>
      </c>
      <c r="FW12" s="67" t="str">
        <f>IF(FW$11="","",VLOOKUP(WEEKDAY(DATE($A$7,$A$9+1-1,FW11),2),Auxiliar!$D$1:$E$7,2,0))</f>
        <v/>
      </c>
      <c r="FX12" s="67" t="str">
        <f>IF(FX$11="","",VLOOKUP(WEEKDAY(DATE($A$7,$A$9+1-1,FX11),2),Auxiliar!$D$1:$E$7,2,0))</f>
        <v/>
      </c>
      <c r="FY12" s="67" t="str">
        <f>IF(FY$11="","",VLOOKUP(WEEKDAY(DATE($A$7,$A$9+1-1,FY11),2),Auxiliar!$D$1:$E$7,2,0))</f>
        <v/>
      </c>
      <c r="FZ12" s="67" t="str">
        <f>IF(FZ$11="","",VLOOKUP(WEEKDAY(DATE($A$7,$A$9+1-1,FZ11),2),Auxiliar!$D$1:$E$7,2,0))</f>
        <v/>
      </c>
      <c r="GA12" s="67" t="str">
        <f>IF(GA$11="","",VLOOKUP(WEEKDAY(DATE($A$7,$A$9+1-1,GA11),2),Auxiliar!$D$1:$E$7,2,0))</f>
        <v/>
      </c>
      <c r="GB12" s="67" t="str">
        <f>IF(GB$11="","",VLOOKUP(WEEKDAY(DATE($A$7,$A$9+1-1,GB11),2),Auxiliar!$D$1:$E$7,2,0))</f>
        <v/>
      </c>
      <c r="GC12" s="67" t="str">
        <f>IF(GC$11="","",VLOOKUP(WEEKDAY(DATE($A$7,$A$9+1-1,GC11),2),Auxiliar!$D$1:$E$7,2,0))</f>
        <v/>
      </c>
      <c r="GD12" s="67" t="str">
        <f>IF(GD$11="","",VLOOKUP(WEEKDAY(DATE($A$7,$A$9+1-1,GD11),2),Auxiliar!$D$1:$E$7,2,0))</f>
        <v/>
      </c>
      <c r="GE12" s="67" t="str">
        <f>IF(GE$11="","",VLOOKUP(WEEKDAY(DATE($A$7,$A$9+1-1,GE11),2),Auxiliar!$D$1:$E$7,2,0))</f>
        <v/>
      </c>
      <c r="GF12" s="67" t="str">
        <f>IF(GF$11="","",VLOOKUP(WEEKDAY(DATE($A$7,$A$9+1-1,GF11),2),Auxiliar!$D$1:$E$7,2,0))</f>
        <v/>
      </c>
      <c r="GG12" s="67" t="str">
        <f>IF(GG$11="","",VLOOKUP(WEEKDAY(DATE($A$7,$A$9+1-1,GG11),2),Auxiliar!$D$1:$E$7,2,0))</f>
        <v/>
      </c>
      <c r="GH12" s="67" t="str">
        <f>IF(GH$11="","",VLOOKUP(WEEKDAY(DATE($A$7,$A$9+1-1,GH11),2),Auxiliar!$D$1:$E$7,2,0))</f>
        <v/>
      </c>
      <c r="GI12" s="67" t="str">
        <f>IF(GI$11="","",VLOOKUP(WEEKDAY(DATE($A$7,$A$9+1-1,GI11),2),Auxiliar!$D$1:$E$7,2,0))</f>
        <v/>
      </c>
      <c r="GJ12" s="67" t="str">
        <f>IF(GJ$11="","",VLOOKUP(WEEKDAY(DATE($A$7,$A$9+1-1,GJ11),2),Auxiliar!$D$1:$E$7,2,0))</f>
        <v/>
      </c>
      <c r="GK12" s="67" t="str">
        <f>IF(GK$11="","",VLOOKUP(WEEKDAY(DATE($A$7,$A$9+1-1,GK11),2),Auxiliar!$D$1:$E$7,2,0))</f>
        <v/>
      </c>
      <c r="GL12" s="67" t="str">
        <f>IF(GL$11="","",VLOOKUP(WEEKDAY(DATE($A$7,$A$9+1-1,GL11),2),Auxiliar!$D$1:$E$7,2,0))</f>
        <v/>
      </c>
      <c r="GM12" s="67" t="str">
        <f>IF(GM$11="","",VLOOKUP(WEEKDAY(DATE($A$7,$A$9+1-1,GM11),2),Auxiliar!$D$1:$E$7,2,0))</f>
        <v/>
      </c>
      <c r="GN12" s="67" t="str">
        <f>IF(GN$11="","",VLOOKUP(WEEKDAY(DATE($A$7,$A$9+1-1,GN11),2),Auxiliar!$D$1:$E$7,2,0))</f>
        <v/>
      </c>
      <c r="GO12" s="67" t="str">
        <f>IF(GO$11="","",VLOOKUP(WEEKDAY(DATE($A$7,$A$9+1-1,GO11),2),Auxiliar!$D$1:$E$7,2,0))</f>
        <v/>
      </c>
      <c r="GP12" s="67" t="str">
        <f>IF(GP$11="","",VLOOKUP(WEEKDAY(DATE($A$7,$A$9+1-1,GP11),2),Auxiliar!$D$1:$E$7,2,0))</f>
        <v/>
      </c>
      <c r="GQ12" s="67" t="str">
        <f>IF(GQ$11="","",VLOOKUP(WEEKDAY(DATE($A$7,$A$9+1-1,GQ11),2),Auxiliar!$D$1:$E$7,2,0))</f>
        <v/>
      </c>
      <c r="GR12" s="67" t="str">
        <f>IF(GR$11="","",VLOOKUP(WEEKDAY(DATE($A$7,$A$9+1-1,GR11),2),Auxiliar!$D$1:$E$7,2,0))</f>
        <v/>
      </c>
      <c r="GS12" s="67" t="str">
        <f>IF(GS$11="","",VLOOKUP(WEEKDAY(DATE($A$7,$A$9+1-1,GS11),2),Auxiliar!$D$1:$E$7,2,0))</f>
        <v/>
      </c>
      <c r="GT12" s="67" t="str">
        <f>IF(GT$11="","",VLOOKUP(WEEKDAY(DATE($A$7,$A$9+1-1,GT11),2),Auxiliar!$D$1:$E$7,2,0))</f>
        <v/>
      </c>
      <c r="GU12" s="67" t="str">
        <f>IF(GU$11="","",VLOOKUP(WEEKDAY(DATE($A$7,$A$9+1-1,GU11),2),Auxiliar!$D$1:$E$7,2,0))</f>
        <v/>
      </c>
      <c r="GV12" s="67" t="str">
        <f>IF(GV$11="","",VLOOKUP(WEEKDAY(DATE($A$7,$A$9+1-1,GV11),2),Auxiliar!$D$1:$E$7,2,0))</f>
        <v/>
      </c>
      <c r="GW12" s="67" t="str">
        <f>IF(GW$11="","",VLOOKUP(WEEKDAY(DATE($A$7,$A$9+1-1,GW11),2),Auxiliar!$D$1:$E$7,2,0))</f>
        <v/>
      </c>
      <c r="GX12" s="67" t="str">
        <f>IF(GX$11="","",VLOOKUP(WEEKDAY(DATE($A$7,$A$9+1-1,GX11),2),Auxiliar!$D$1:$E$7,2,0))</f>
        <v/>
      </c>
      <c r="GY12" s="67" t="str">
        <f>IF(GY$11="","",VLOOKUP(WEEKDAY(DATE($A$7,$A$9+1-1,GY11),2),Auxiliar!$D$1:$E$7,2,0))</f>
        <v/>
      </c>
      <c r="GZ12" s="67" t="str">
        <f>IF(GZ$11="","",VLOOKUP(WEEKDAY(DATE($A$7,$A$9+1-1,GZ11),2),Auxiliar!$D$1:$E$7,2,0))</f>
        <v/>
      </c>
      <c r="HA12" s="67" t="str">
        <f>IF(HA$11="","",VLOOKUP(WEEKDAY(DATE($A$7,$A$9+1-1,HA11),2),Auxiliar!$D$1:$E$7,2,0))</f>
        <v/>
      </c>
      <c r="HB12" s="67" t="str">
        <f>IF(HB$11="","",VLOOKUP(WEEKDAY(DATE($A$7,$A$9+1-1,HB11),2),Auxiliar!$D$1:$E$7,2,0))</f>
        <v/>
      </c>
      <c r="HC12" s="67" t="str">
        <f>IF(HC$11="","",VLOOKUP(WEEKDAY(DATE($A$7,$A$9+1-1,HC11),2),Auxiliar!$D$1:$E$7,2,0))</f>
        <v/>
      </c>
      <c r="HD12" s="67" t="str">
        <f>IF(HD$11="","",VLOOKUP(WEEKDAY(DATE($A$7,$A$9+1-1,HD11),2),Auxiliar!$D$1:$E$7,2,0))</f>
        <v/>
      </c>
      <c r="HE12" s="67" t="str">
        <f>IF(HE$11="","",VLOOKUP(WEEKDAY(DATE($A$7,$A$9+1-1,HE11),2),Auxiliar!$D$1:$E$7,2,0))</f>
        <v/>
      </c>
      <c r="HF12" s="67" t="str">
        <f>IF(HF$11="","",VLOOKUP(WEEKDAY(DATE($A$7,$A$9+1-1,HF11),2),Auxiliar!$D$1:$E$7,2,0))</f>
        <v/>
      </c>
      <c r="HG12" s="67" t="str">
        <f>IF(HG$11="","",VLOOKUP(WEEKDAY(DATE($A$7,$A$9+1-1,HG11),2),Auxiliar!$D$1:$E$7,2,0))</f>
        <v/>
      </c>
      <c r="HH12" s="67" t="str">
        <f>IF(HH$11="","",VLOOKUP(WEEKDAY(DATE($A$7,$A$9+1-1,HH11),2),Auxiliar!$D$1:$E$7,2,0))</f>
        <v/>
      </c>
      <c r="HI12" s="67" t="str">
        <f>IF(HI$11="","",VLOOKUP(WEEKDAY(DATE($A$7,$A$9+1-1,HI11),2),Auxiliar!$D$1:$E$7,2,0))</f>
        <v/>
      </c>
      <c r="HJ12" s="67" t="str">
        <f>IF(HJ$11="","",VLOOKUP(WEEKDAY(DATE($A$7,$A$9+1-1,HJ11),2),Auxiliar!$D$1:$E$7,2,0))</f>
        <v/>
      </c>
      <c r="HK12" s="67" t="str">
        <f>IF(HK$11="","",VLOOKUP(WEEKDAY(DATE($A$7,$A$9+1-1,HK11),2),Auxiliar!$D$1:$E$7,2,0))</f>
        <v/>
      </c>
      <c r="HL12" s="67" t="str">
        <f>IF(HL$11="","",VLOOKUP(WEEKDAY(DATE($A$7,$A$9+1-1,HL11),2),Auxiliar!$D$1:$E$7,2,0))</f>
        <v/>
      </c>
      <c r="HM12" s="67" t="str">
        <f>IF(HM$11="","",VLOOKUP(WEEKDAY(DATE($A$7,$A$9+1-1,HM11),2),Auxiliar!$D$1:$E$7,2,0))</f>
        <v/>
      </c>
      <c r="HN12" s="67" t="str">
        <f>IF(HN$11="","",VLOOKUP(WEEKDAY(DATE($A$7,$A$9+1-1,HN11),2),Auxiliar!$D$1:$E$7,2,0))</f>
        <v/>
      </c>
      <c r="HO12" s="67" t="str">
        <f>IF(HO$11="","",VLOOKUP(WEEKDAY(DATE($A$7,$A$9+1-1,HO11),2),Auxiliar!$D$1:$E$7,2,0))</f>
        <v/>
      </c>
      <c r="HP12" s="67" t="str">
        <f>IF(HP$11="","",VLOOKUP(WEEKDAY(DATE($A$7,$A$9+1-1,HP11),2),Auxiliar!$D$1:$E$7,2,0))</f>
        <v/>
      </c>
      <c r="HQ12" s="67" t="str">
        <f>IF(HQ$11="","",VLOOKUP(WEEKDAY(DATE($A$7,$A$9+1-1,HQ11),2),Auxiliar!$D$1:$E$7,2,0))</f>
        <v/>
      </c>
      <c r="HR12" s="67" t="str">
        <f>IF(HR$11="","",VLOOKUP(WEEKDAY(DATE($A$7,$A$9+1-1,HR11),2),Auxiliar!$D$1:$E$7,2,0))</f>
        <v/>
      </c>
      <c r="HS12" s="67" t="str">
        <f>IF(HS$11="","",VLOOKUP(WEEKDAY(DATE($A$7,$A$9+1-1,HS11),2),Auxiliar!$D$1:$E$7,2,0))</f>
        <v/>
      </c>
      <c r="HT12" s="67" t="str">
        <f>IF(HT$11="","",VLOOKUP(WEEKDAY(DATE($A$7,$A$9+1-1,HT11),2),Auxiliar!$D$1:$E$7,2,0))</f>
        <v/>
      </c>
      <c r="HU12" s="67" t="str">
        <f>IF(HU$11="","",VLOOKUP(WEEKDAY(DATE($A$7,$A$9+1-1,HU11),2),Auxiliar!$D$1:$E$7,2,0))</f>
        <v/>
      </c>
      <c r="HV12" s="67" t="str">
        <f>IF(HV$11="","",VLOOKUP(WEEKDAY(DATE($A$7,$A$9+1-1,HV11),2),Auxiliar!$D$1:$E$7,2,0))</f>
        <v/>
      </c>
      <c r="HW12" s="67" t="str">
        <f>IF(HW$11="","",VLOOKUP(WEEKDAY(DATE($A$7,$A$9+1-1,HW11),2),Auxiliar!$D$1:$E$7,2,0))</f>
        <v/>
      </c>
      <c r="HX12" s="67" t="str">
        <f>IF(HX$11="","",VLOOKUP(WEEKDAY(DATE($A$7,$A$9+1-1,HX11),2),Auxiliar!$D$1:$E$7,2,0))</f>
        <v/>
      </c>
      <c r="HY12" s="67" t="str">
        <f>IF(HY$11="","",VLOOKUP(WEEKDAY(DATE($A$7,$A$9+1-1,HY11),2),Auxiliar!$D$1:$E$7,2,0))</f>
        <v/>
      </c>
      <c r="HZ12" s="67" t="str">
        <f>IF(HZ$11="","",VLOOKUP(WEEKDAY(DATE($A$7,$A$9+1-1,HZ11),2),Auxiliar!$D$1:$E$7,2,0))</f>
        <v/>
      </c>
      <c r="IA12" s="67" t="str">
        <f>IF(IA$11="","",VLOOKUP(WEEKDAY(DATE($A$7,$A$9+1-1,IA11),2),Auxiliar!$D$1:$E$7,2,0))</f>
        <v/>
      </c>
      <c r="IB12" s="67" t="str">
        <f>IF(IB$11="","",VLOOKUP(WEEKDAY(DATE($A$7,$A$9+1-1,IB11),2),Auxiliar!$D$1:$E$7,2,0))</f>
        <v/>
      </c>
      <c r="IC12" s="67" t="str">
        <f>IF(IC$11="","",VLOOKUP(WEEKDAY(DATE($A$7,$A$9+1-1,IC11),2),Auxiliar!$D$1:$E$7,2,0))</f>
        <v/>
      </c>
      <c r="ID12" s="67" t="str">
        <f>IF(ID$11="","",VLOOKUP(WEEKDAY(DATE($A$7,$A$9+1-1,ID11),2),Auxiliar!$D$1:$E$7,2,0))</f>
        <v/>
      </c>
      <c r="IE12" s="67" t="str">
        <f>IF(IE$11="","",VLOOKUP(WEEKDAY(DATE($A$7,$A$9+1-1,IE11),2),Auxiliar!$D$1:$E$7,2,0))</f>
        <v/>
      </c>
      <c r="IF12" s="67" t="str">
        <f>IF(IF$11="","",VLOOKUP(WEEKDAY(DATE($A$7,$A$9+1-1,IF11),2),Auxiliar!$D$1:$E$7,2,0))</f>
        <v/>
      </c>
      <c r="IG12" s="67" t="str">
        <f>IF(IG$11="","",VLOOKUP(WEEKDAY(DATE($A$7,$A$9+1-1,IG11),2),Auxiliar!$D$1:$E$7,2,0))</f>
        <v/>
      </c>
      <c r="IH12" s="67" t="str">
        <f>IF(IH$11="","",VLOOKUP(WEEKDAY(DATE($A$7,$A$9+1-1,IH11),2),Auxiliar!$D$1:$E$7,2,0))</f>
        <v/>
      </c>
      <c r="II12" s="67" t="str">
        <f>IF(II$11="","",VLOOKUP(WEEKDAY(DATE($A$7,$A$9+1-1,II11),2),Auxiliar!$D$1:$E$7,2,0))</f>
        <v/>
      </c>
      <c r="IJ12" s="67" t="str">
        <f>IF(IJ$11="","",VLOOKUP(WEEKDAY(DATE($A$7,$A$9+1-1,IJ11),2),Auxiliar!$D$1:$E$7,2,0))</f>
        <v/>
      </c>
      <c r="IK12" s="67" t="str">
        <f>IF(IK$11="","",VLOOKUP(WEEKDAY(DATE($A$7,$A$9+1-1,IK11),2),Auxiliar!$D$1:$E$7,2,0))</f>
        <v/>
      </c>
      <c r="IL12" s="67" t="str">
        <f>IF(IL$11="","",VLOOKUP(WEEKDAY(DATE($A$7,$A$9+1-1,IL11),2),Auxiliar!$D$1:$E$7,2,0))</f>
        <v/>
      </c>
      <c r="IM12" s="67" t="str">
        <f>IF(IM$11="","",VLOOKUP(WEEKDAY(DATE($A$7,$A$9+1-1,IM11),2),Auxiliar!$D$1:$E$7,2,0))</f>
        <v/>
      </c>
      <c r="IN12" s="67" t="str">
        <f>IF(IN$11="","",VLOOKUP(WEEKDAY(DATE($A$7,$A$9+1-1,IN11),2),Auxiliar!$D$1:$E$7,2,0))</f>
        <v/>
      </c>
      <c r="IO12" s="67" t="str">
        <f>IF(IO$11="","",VLOOKUP(WEEKDAY(DATE($A$7,$A$9+1-1,IO11),2),Auxiliar!$D$1:$E$7,2,0))</f>
        <v/>
      </c>
      <c r="IP12" s="67" t="str">
        <f>IF(IP$11="","",VLOOKUP(WEEKDAY(DATE($A$7,$A$9+1-1,IP11),2),Auxiliar!$D$1:$E$7,2,0))</f>
        <v/>
      </c>
      <c r="IQ12" s="67" t="str">
        <f>IF(IQ$11="","",VLOOKUP(WEEKDAY(DATE($A$7,$A$9+1-1,IQ11),2),Auxiliar!$D$1:$E$7,2,0))</f>
        <v/>
      </c>
      <c r="IR12" s="67" t="str">
        <f>IF(IR$11="","",VLOOKUP(WEEKDAY(DATE($A$7,$A$9+1-1,IR11),2),Auxiliar!$D$1:$E$7,2,0))</f>
        <v/>
      </c>
      <c r="IS12" s="67" t="str">
        <f>IF(IS$11="","",VLOOKUP(WEEKDAY(DATE($A$7,$A$9+1-1,IS11),2),Auxiliar!$D$1:$E$7,2,0))</f>
        <v/>
      </c>
      <c r="IT12" s="67" t="str">
        <f>IF(IT$11="","",VLOOKUP(WEEKDAY(DATE($A$7,$A$9+1-1,IT11),2),Auxiliar!$D$1:$E$7,2,0))</f>
        <v/>
      </c>
      <c r="IU12" s="67" t="str">
        <f>IF(IU$11="","",VLOOKUP(WEEKDAY(DATE($A$7,$A$9+1-1,IU11),2),Auxiliar!$D$1:$E$7,2,0))</f>
        <v/>
      </c>
      <c r="IV12" s="67" t="str">
        <f>IF(IV$11="","",VLOOKUP(WEEKDAY(DATE($A$7,$A$9+1-1,IV11),2),Auxiliar!$D$1:$E$7,2,0))</f>
        <v/>
      </c>
      <c r="IW12" s="67" t="str">
        <f>IF(IW$11="","",VLOOKUP(WEEKDAY(DATE($A$7,$A$9+1-1,IW11),2),Auxiliar!$D$1:$E$7,2,0))</f>
        <v/>
      </c>
      <c r="IX12" s="67" t="str">
        <f>IF(IX$11="","",VLOOKUP(WEEKDAY(DATE($A$7,$A$9+1-1,IX11),2),Auxiliar!$D$1:$E$7,2,0))</f>
        <v/>
      </c>
      <c r="IY12" s="67" t="str">
        <f>IF(IY$11="","",VLOOKUP(WEEKDAY(DATE($A$7,$A$9+1-1,IY11),2),Auxiliar!$D$1:$E$7,2,0))</f>
        <v/>
      </c>
      <c r="IZ12" s="67" t="str">
        <f>IF(IZ$11="","",VLOOKUP(WEEKDAY(DATE($A$7,$A$9+1-1,IZ11),2),Auxiliar!$D$1:$E$7,2,0))</f>
        <v/>
      </c>
      <c r="JA12" s="67" t="str">
        <f>IF(JA$11="","",VLOOKUP(WEEKDAY(DATE($A$7,$A$9+1-1,JA11),2),Auxiliar!$D$1:$E$7,2,0))</f>
        <v/>
      </c>
      <c r="JB12" s="67" t="str">
        <f>IF(JB$11="","",VLOOKUP(WEEKDAY(DATE($A$7,$A$9+1-1,JB11),2),Auxiliar!$D$1:$E$7,2,0))</f>
        <v/>
      </c>
      <c r="JC12" s="67" t="str">
        <f>IF(JC$11="","",VLOOKUP(WEEKDAY(DATE($A$7,$A$9+1-1,JC11),2),Auxiliar!$D$1:$E$7,2,0))</f>
        <v/>
      </c>
      <c r="JD12" s="67" t="str">
        <f>IF(JD$11="","",VLOOKUP(WEEKDAY(DATE($A$7,$A$9+1-1,JD11),2),Auxiliar!$D$1:$E$7,2,0))</f>
        <v/>
      </c>
      <c r="JE12" s="67" t="str">
        <f>IF(JE$11="","",VLOOKUP(WEEKDAY(DATE($A$7,$A$9+1-1,JE11),2),Auxiliar!$D$1:$E$7,2,0))</f>
        <v/>
      </c>
      <c r="JF12" s="67" t="str">
        <f>IF(JF$11="","",VLOOKUP(WEEKDAY(DATE($A$7,$A$9+1-1,JF11),2),Auxiliar!$D$1:$E$7,2,0))</f>
        <v/>
      </c>
      <c r="JG12" s="67" t="str">
        <f>IF(JG$11="","",VLOOKUP(WEEKDAY(DATE($A$7,$A$9+1-1,JG11),2),Auxiliar!$D$1:$E$7,2,0))</f>
        <v/>
      </c>
      <c r="JH12" s="67" t="str">
        <f>IF(JH$11="","",VLOOKUP(WEEKDAY(DATE($A$7,$A$9+1-1,JH11),2),Auxiliar!$D$1:$E$7,2,0))</f>
        <v/>
      </c>
      <c r="JI12" s="67" t="str">
        <f>IF(JI$11="","",VLOOKUP(WEEKDAY(DATE($A$7,$A$9+1-1,JI11),2),Auxiliar!$D$1:$E$7,2,0))</f>
        <v/>
      </c>
      <c r="JJ12" s="67" t="str">
        <f>IF(JJ$11="","",VLOOKUP(WEEKDAY(DATE($A$7,$A$9+1-1,JJ11),2),Auxiliar!$D$1:$E$7,2,0))</f>
        <v/>
      </c>
      <c r="JK12" s="67" t="str">
        <f>IF(JK$11="","",VLOOKUP(WEEKDAY(DATE($A$7,$A$9+1-1,JK11),2),Auxiliar!$D$1:$E$7,2,0))</f>
        <v/>
      </c>
      <c r="JL12" s="67" t="str">
        <f>IF(JL$11="","",VLOOKUP(WEEKDAY(DATE($A$7,$A$9+1-1,JL11),2),Auxiliar!$D$1:$E$7,2,0))</f>
        <v/>
      </c>
      <c r="JM12" s="67" t="str">
        <f>IF(JM$11="","",VLOOKUP(WEEKDAY(DATE($A$7,$A$9+1-1,JM11),2),Auxiliar!$D$1:$E$7,2,0))</f>
        <v/>
      </c>
      <c r="JN12" s="67" t="str">
        <f>IF(JN$11="","",VLOOKUP(WEEKDAY(DATE($A$7,$A$9+1-1,JN11),2),Auxiliar!$D$1:$E$7,2,0))</f>
        <v/>
      </c>
      <c r="JO12" s="67" t="str">
        <f>IF(JO$11="","",VLOOKUP(WEEKDAY(DATE($A$7,$A$9+1-1,JO11),2),Auxiliar!$D$1:$E$7,2,0))</f>
        <v/>
      </c>
      <c r="JP12" s="67" t="str">
        <f>IF(JP$11="","",VLOOKUP(WEEKDAY(DATE($A$7,$A$9+1-1,JP11),2),Auxiliar!$D$1:$E$7,2,0))</f>
        <v/>
      </c>
      <c r="JQ12" s="67" t="str">
        <f>IF(JQ$11="","",VLOOKUP(WEEKDAY(DATE($A$7,$A$9+1-1,JQ11),2),Auxiliar!$D$1:$E$7,2,0))</f>
        <v/>
      </c>
      <c r="JR12" s="67" t="str">
        <f>IF(JR$11="","",VLOOKUP(WEEKDAY(DATE($A$7,$A$9+1-1,JR11),2),Auxiliar!$D$1:$E$7,2,0))</f>
        <v/>
      </c>
      <c r="JS12" s="67" t="str">
        <f>IF(JS$11="","",VLOOKUP(WEEKDAY(DATE($A$7,$A$9+1-1,JS11),2),Auxiliar!$D$1:$E$7,2,0))</f>
        <v/>
      </c>
      <c r="JT12" s="67" t="str">
        <f>IF(JT$11="","",VLOOKUP(WEEKDAY(DATE($A$7,$A$9+1-1,JT11),2),Auxiliar!$D$1:$E$7,2,0))</f>
        <v/>
      </c>
      <c r="JU12" s="67" t="str">
        <f>IF(JU$11="","",VLOOKUP(WEEKDAY(DATE($A$7,$A$9+1-1,JU11),2),Auxiliar!$D$1:$E$7,2,0))</f>
        <v/>
      </c>
      <c r="JV12" s="67" t="str">
        <f>IF(JV$11="","",VLOOKUP(WEEKDAY(DATE($A$7,$A$9+1-1,JV11),2),Auxiliar!$D$1:$E$7,2,0))</f>
        <v/>
      </c>
      <c r="JW12" s="67" t="str">
        <f>IF(JW$11="","",VLOOKUP(WEEKDAY(DATE($A$7,$A$9+1-1,JW11),2),Auxiliar!$D$1:$E$7,2,0))</f>
        <v/>
      </c>
      <c r="JX12" s="67" t="str">
        <f>IF(JX$11="","",VLOOKUP(WEEKDAY(DATE($A$7,$A$9+1-1,JX11),2),Auxiliar!$D$1:$E$7,2,0))</f>
        <v/>
      </c>
      <c r="JY12" s="67" t="str">
        <f>IF(JY$11="","",VLOOKUP(WEEKDAY(DATE($A$7,$A$9+1-1,JY11),2),Auxiliar!$D$1:$E$7,2,0))</f>
        <v/>
      </c>
      <c r="JZ12" s="67" t="str">
        <f>IF(JZ$11="","",VLOOKUP(WEEKDAY(DATE($A$7,$A$9+1-1,JZ11),2),Auxiliar!$D$1:$E$7,2,0))</f>
        <v/>
      </c>
      <c r="KA12" s="67" t="str">
        <f>IF(KA$11="","",VLOOKUP(WEEKDAY(DATE($A$7,$A$9+1-1,KA11),2),Auxiliar!$D$1:$E$7,2,0))</f>
        <v/>
      </c>
      <c r="KB12" s="67" t="str">
        <f>IF(KB$11="","",VLOOKUP(WEEKDAY(DATE($A$7,$A$9+1-1,KB11),2),Auxiliar!$D$1:$E$7,2,0))</f>
        <v/>
      </c>
      <c r="KC12" s="67" t="str">
        <f>IF(KC$11="","",VLOOKUP(WEEKDAY(DATE($A$7,$A$9+1-1,KC11),2),Auxiliar!$D$1:$E$7,2,0))</f>
        <v/>
      </c>
      <c r="KD12" s="67" t="str">
        <f>IF(KD$11="","",VLOOKUP(WEEKDAY(DATE($A$7,$A$9+1-1,KD11),2),Auxiliar!$D$1:$E$7,2,0))</f>
        <v/>
      </c>
      <c r="KE12" s="67" t="str">
        <f>IF(KE$11="","",VLOOKUP(WEEKDAY(DATE($A$7,$A$9+1-1,KE11),2),Auxiliar!$D$1:$E$7,2,0))</f>
        <v/>
      </c>
      <c r="KF12" s="67" t="str">
        <f>IF(KF$11="","",VLOOKUP(WEEKDAY(DATE($A$7,$A$9+1-1,KF11),2),Auxiliar!$D$1:$E$7,2,0))</f>
        <v/>
      </c>
      <c r="KG12" s="67" t="str">
        <f>IF(KG$11="","",VLOOKUP(WEEKDAY(DATE($A$7,$A$9+1-1,KG11),2),Auxiliar!$D$1:$E$7,2,0))</f>
        <v/>
      </c>
      <c r="KH12" s="67" t="str">
        <f>IF(KH$11="","",VLOOKUP(WEEKDAY(DATE($A$7,$A$9+1-1,KH11),2),Auxiliar!$D$1:$E$7,2,0))</f>
        <v/>
      </c>
      <c r="KI12" s="67" t="str">
        <f>IF(KI$11="","",VLOOKUP(WEEKDAY(DATE($A$7,$A$9+1-1,KI11),2),Auxiliar!$D$1:$E$7,2,0))</f>
        <v/>
      </c>
      <c r="KJ12" s="67" t="str">
        <f>IF(KJ$11="","",VLOOKUP(WEEKDAY(DATE($A$7,$A$9+1-1,KJ11),2),Auxiliar!$D$1:$E$7,2,0))</f>
        <v/>
      </c>
      <c r="KK12" s="67" t="str">
        <f>IF(KK$11="","",VLOOKUP(WEEKDAY(DATE($A$7,$A$9+1-1,KK11),2),Auxiliar!$D$1:$E$7,2,0))</f>
        <v/>
      </c>
      <c r="KL12" s="67" t="str">
        <f>IF(KL$11="","",VLOOKUP(WEEKDAY(DATE($A$7,$A$9+1-1,KL11),2),Auxiliar!$D$1:$E$7,2,0))</f>
        <v/>
      </c>
      <c r="KM12" s="67" t="str">
        <f>IF(KM$11="","",VLOOKUP(WEEKDAY(DATE($A$7,$A$9+1-1,KM11),2),Auxiliar!$D$1:$E$7,2,0))</f>
        <v/>
      </c>
      <c r="KN12" s="67" t="str">
        <f>IF(KN$11="","",VLOOKUP(WEEKDAY(DATE($A$7,$A$9+1-1,KN11),2),Auxiliar!$D$1:$E$7,2,0))</f>
        <v/>
      </c>
      <c r="KO12" s="67" t="str">
        <f>IF(KO$11="","",VLOOKUP(WEEKDAY(DATE($A$7,$A$9+1-1,KO11),2),Auxiliar!$D$1:$E$7,2,0))</f>
        <v/>
      </c>
      <c r="KP12" s="67" t="str">
        <f>IF(KP$11="","",VLOOKUP(WEEKDAY(DATE($A$7,$A$9+1-1,KP11),2),Auxiliar!$D$1:$E$7,2,0))</f>
        <v/>
      </c>
      <c r="KQ12" s="67" t="str">
        <f>IF(KQ$11="","",VLOOKUP(WEEKDAY(DATE($A$7,$A$9+1-1,KQ11),2),Auxiliar!$D$1:$E$7,2,0))</f>
        <v/>
      </c>
      <c r="KR12" s="67" t="str">
        <f>IF(KR$11="","",VLOOKUP(WEEKDAY(DATE($A$7,$A$9+1-1,KR11),2),Auxiliar!$D$1:$E$7,2,0))</f>
        <v/>
      </c>
      <c r="KS12" s="67" t="str">
        <f>IF(KS$11="","",VLOOKUP(WEEKDAY(DATE($A$7,$A$9+1-1,KS11),2),Auxiliar!$D$1:$E$7,2,0))</f>
        <v/>
      </c>
      <c r="KT12" s="67" t="str">
        <f>IF(KT$11="","",VLOOKUP(WEEKDAY(DATE($A$7,$A$9+1-1,KT11),2),Auxiliar!$D$1:$E$7,2,0))</f>
        <v/>
      </c>
      <c r="KU12" s="67" t="str">
        <f>IF(KU$11="","",VLOOKUP(WEEKDAY(DATE($A$7,$A$9+1-1,KU11),2),Auxiliar!$D$1:$E$7,2,0))</f>
        <v/>
      </c>
      <c r="KV12" s="67" t="str">
        <f>IF(KV$11="","",VLOOKUP(WEEKDAY(DATE($A$7,$A$9+1-1,KV11),2),Auxiliar!$D$1:$E$7,2,0))</f>
        <v/>
      </c>
      <c r="KW12" s="67" t="str">
        <f>IF(KW$11="","",VLOOKUP(WEEKDAY(DATE($A$7,$A$9+1-1,KW11),2),Auxiliar!$D$1:$E$7,2,0))</f>
        <v/>
      </c>
      <c r="KX12" s="67" t="str">
        <f>IF(KX$11="","",VLOOKUP(WEEKDAY(DATE($A$7,$A$9+1-1,KX11),2),Auxiliar!$D$1:$E$7,2,0))</f>
        <v/>
      </c>
      <c r="KY12" s="67" t="str">
        <f>IF(KY$11="","",VLOOKUP(WEEKDAY(DATE($A$7,$A$9+1-1,KY11),2),Auxiliar!$D$1:$E$7,2,0))</f>
        <v/>
      </c>
      <c r="KZ12" s="67" t="str">
        <f>IF(KZ$11="","",VLOOKUP(WEEKDAY(DATE($A$7,$A$9+1-1,KZ11),2),Auxiliar!$D$1:$E$7,2,0))</f>
        <v/>
      </c>
      <c r="LA12" s="67" t="str">
        <f>IF(LA$11="","",VLOOKUP(WEEKDAY(DATE($A$7,$A$9+1-1,LA11),2),Auxiliar!$D$1:$E$7,2,0))</f>
        <v/>
      </c>
      <c r="LB12" s="67" t="str">
        <f>IF(LB$11="","",VLOOKUP(WEEKDAY(DATE($A$7,$A$9+1-1,LB11),2),Auxiliar!$D$1:$E$7,2,0))</f>
        <v/>
      </c>
      <c r="LC12" s="67" t="str">
        <f>IF(LC$11="","",VLOOKUP(WEEKDAY(DATE($A$7,$A$9+1-1,LC11),2),Auxiliar!$D$1:$E$7,2,0))</f>
        <v/>
      </c>
      <c r="LD12" s="67" t="str">
        <f>IF(LD$11="","",VLOOKUP(WEEKDAY(DATE($A$7,$A$9+1-1,LD11),2),Auxiliar!$D$1:$E$7,2,0))</f>
        <v/>
      </c>
      <c r="LE12" s="67" t="str">
        <f>IF(LE$11="","",VLOOKUP(WEEKDAY(DATE($A$7,$A$9+1-1,LE11),2),Auxiliar!$D$1:$E$7,2,0))</f>
        <v/>
      </c>
      <c r="LF12" s="67" t="str">
        <f>IF(LF$11="","",VLOOKUP(WEEKDAY(DATE($A$7,$A$9+1-1,LF11),2),Auxiliar!$D$1:$E$7,2,0))</f>
        <v/>
      </c>
      <c r="LG12" s="67" t="str">
        <f>IF(LG$11="","",VLOOKUP(WEEKDAY(DATE($A$7,$A$9+1-1,LG11),2),Auxiliar!$D$1:$E$7,2,0))</f>
        <v/>
      </c>
      <c r="LH12" s="67" t="str">
        <f>IF(LH$11="","",VLOOKUP(WEEKDAY(DATE($A$7,$A$9+1-1,LH11),2),Auxiliar!$D$1:$E$7,2,0))</f>
        <v/>
      </c>
      <c r="LI12" s="67" t="str">
        <f>IF(LI$11="","",VLOOKUP(WEEKDAY(DATE($A$7,$A$9+1-1,LI11),2),Auxiliar!$D$1:$E$7,2,0))</f>
        <v/>
      </c>
      <c r="LJ12" s="67" t="str">
        <f>IF(LJ$11="","",VLOOKUP(WEEKDAY(DATE($A$7,$A$9+1-1,LJ11),2),Auxiliar!$D$1:$E$7,2,0))</f>
        <v/>
      </c>
      <c r="LK12" s="67" t="str">
        <f>IF(LK$11="","",VLOOKUP(WEEKDAY(DATE($A$7,$A$9+1-1,LK11),2),Auxiliar!$D$1:$E$7,2,0))</f>
        <v/>
      </c>
      <c r="LL12" s="67" t="str">
        <f>IF(LL$11="","",VLOOKUP(WEEKDAY(DATE($A$7,$A$9+1-1,LL11),2),Auxiliar!$D$1:$E$7,2,0))</f>
        <v/>
      </c>
      <c r="LM12" s="67" t="str">
        <f>IF(LM$11="","",VLOOKUP(WEEKDAY(DATE($A$7,$A$9+1-1,LM11),2),Auxiliar!$D$1:$E$7,2,0))</f>
        <v/>
      </c>
      <c r="LN12" s="67" t="str">
        <f>IF(LN$11="","",VLOOKUP(WEEKDAY(DATE($A$7,$A$9+1-1,LN11),2),Auxiliar!$D$1:$E$7,2,0))</f>
        <v/>
      </c>
      <c r="LO12" s="67" t="str">
        <f>IF(LO$11="","",VLOOKUP(WEEKDAY(DATE($A$7,$A$9+1-1,LO11),2),Auxiliar!$D$1:$E$7,2,0))</f>
        <v/>
      </c>
      <c r="LP12" s="67" t="str">
        <f>IF(LP$11="","",VLOOKUP(WEEKDAY(DATE($A$7,$A$9+1-1,LP11),2),Auxiliar!$D$1:$E$7,2,0))</f>
        <v/>
      </c>
      <c r="LQ12" s="67" t="str">
        <f>IF(LQ$11="","",VLOOKUP(WEEKDAY(DATE($A$7,$A$9+1-1,LQ11),2),Auxiliar!$D$1:$E$7,2,0))</f>
        <v/>
      </c>
      <c r="LR12" s="67" t="str">
        <f>IF(LR$11="","",VLOOKUP(WEEKDAY(DATE($A$7,$A$9+1-1,LR11),2),Auxiliar!$D$1:$E$7,2,0))</f>
        <v/>
      </c>
      <c r="LS12" s="67" t="str">
        <f>IF(LS$11="","",VLOOKUP(WEEKDAY(DATE($A$7,$A$9+1-1,LS11),2),Auxiliar!$D$1:$E$7,2,0))</f>
        <v/>
      </c>
      <c r="LT12" s="67" t="str">
        <f>IF(LT$11="","",VLOOKUP(WEEKDAY(DATE($A$7,$A$9+1-1,LT11),2),Auxiliar!$D$1:$E$7,2,0))</f>
        <v/>
      </c>
      <c r="LU12" s="67" t="str">
        <f>IF(LU$11="","",VLOOKUP(WEEKDAY(DATE($A$7,$A$9+1-1,LU11),2),Auxiliar!$D$1:$E$7,2,0))</f>
        <v/>
      </c>
      <c r="LV12" s="67" t="str">
        <f>IF(LV$11="","",VLOOKUP(WEEKDAY(DATE($A$7,$A$9+1-1,LV11),2),Auxiliar!$D$1:$E$7,2,0))</f>
        <v/>
      </c>
      <c r="LW12" s="67" t="str">
        <f>IF(LW$11="","",VLOOKUP(WEEKDAY(DATE($A$7,$A$9+1-1,LW11),2),Auxiliar!$D$1:$E$7,2,0))</f>
        <v/>
      </c>
      <c r="LX12" s="67" t="str">
        <f>IF(LX$11="","",VLOOKUP(WEEKDAY(DATE($A$7,$A$9+1-1,LX11),2),Auxiliar!$D$1:$E$7,2,0))</f>
        <v/>
      </c>
      <c r="LY12" s="67" t="str">
        <f>IF(LY$11="","",VLOOKUP(WEEKDAY(DATE($A$7,$A$9+1-1,LY11),2),Auxiliar!$D$1:$E$7,2,0))</f>
        <v/>
      </c>
      <c r="LZ12" s="67" t="str">
        <f>IF(LZ$11="","",VLOOKUP(WEEKDAY(DATE($A$7,$A$9+1-1,LZ11),2),Auxiliar!$D$1:$E$7,2,0))</f>
        <v/>
      </c>
      <c r="MA12" s="67" t="str">
        <f>IF(MA$11="","",VLOOKUP(WEEKDAY(DATE($A$7,$A$9+1-1,MA11),2),Auxiliar!$D$1:$E$7,2,0))</f>
        <v/>
      </c>
      <c r="MB12" s="67" t="str">
        <f>IF(MB$11="","",VLOOKUP(WEEKDAY(DATE($A$7,$A$9+1-1,MB11),2),Auxiliar!$D$1:$E$7,2,0))</f>
        <v/>
      </c>
      <c r="MC12" s="67" t="str">
        <f>IF(MC$11="","",VLOOKUP(WEEKDAY(DATE($A$7,$A$9+1-1,MC11),2),Auxiliar!$D$1:$E$7,2,0))</f>
        <v/>
      </c>
      <c r="MD12" s="67" t="str">
        <f>IF(MD$11="","",VLOOKUP(WEEKDAY(DATE($A$7,$A$9+1-1,MD11),2),Auxiliar!$D$1:$E$7,2,0))</f>
        <v/>
      </c>
      <c r="ME12" s="67" t="str">
        <f>IF(ME$11="","",VLOOKUP(WEEKDAY(DATE($A$7,$A$9+1-1,ME11),2),Auxiliar!$D$1:$E$7,2,0))</f>
        <v>Mar</v>
      </c>
      <c r="MF12" s="67" t="str">
        <f>IF(MF$11="","",VLOOKUP(WEEKDAY(DATE($A$7,$A$9+1-1,MF11),2),Auxiliar!$D$1:$E$7,2,0))</f>
        <v>Mie</v>
      </c>
      <c r="MG12" s="67" t="str">
        <f>IF(MG$11="","",VLOOKUP(WEEKDAY(DATE($A$7,$A$9+1-1,MG11),2),Auxiliar!$D$1:$E$7,2,0))</f>
        <v>Jue</v>
      </c>
      <c r="MH12" s="67" t="str">
        <f>IF(MH$11="","",VLOOKUP(WEEKDAY(DATE($A$7,$A$9+1-1,MH11),2),Auxiliar!$D$1:$E$7,2,0))</f>
        <v>Vie</v>
      </c>
      <c r="MI12" s="67" t="str">
        <f>IF(MI$11="","",VLOOKUP(WEEKDAY(DATE($A$7,$A$9+1-1,MI11),2),Auxiliar!$D$1:$E$7,2,0))</f>
        <v>Sab</v>
      </c>
      <c r="MJ12" s="67" t="str">
        <f>IF(MJ$11="","",VLOOKUP(WEEKDAY(DATE($A$7,$A$9+1-1,MJ11),2),Auxiliar!$D$1:$E$7,2,0))</f>
        <v>Dom</v>
      </c>
      <c r="MK12" s="67" t="str">
        <f>IF(MK$11="","",VLOOKUP(WEEKDAY(DATE($A$7,$A$9+1-1,MK11),2),Auxiliar!$D$1:$E$7,2,0))</f>
        <v>Lun</v>
      </c>
      <c r="ML12" s="67" t="str">
        <f>IF(ML$11="","",VLOOKUP(WEEKDAY(DATE($A$7,$A$9+1-1,ML11),2),Auxiliar!$D$1:$E$7,2,0))</f>
        <v>Mar</v>
      </c>
      <c r="MM12" s="67" t="str">
        <f>IF(MM$11="","",VLOOKUP(WEEKDAY(DATE($A$7,$A$9+1-1,MM11),2),Auxiliar!$D$1:$E$7,2,0))</f>
        <v>Mie</v>
      </c>
      <c r="MN12" s="67" t="str">
        <f>IF(MN$11="","",VLOOKUP(WEEKDAY(DATE($A$7,$A$9+1-1,MN11),2),Auxiliar!$D$1:$E$7,2,0))</f>
        <v>Jue</v>
      </c>
      <c r="MO12" s="67" t="str">
        <f>IF(MO$11="","",VLOOKUP(WEEKDAY(DATE($A$7,$A$9+1-1,MO11),2),Auxiliar!$D$1:$E$7,2,0))</f>
        <v>Vie</v>
      </c>
      <c r="MP12" s="67" t="str">
        <f>IF(MP$11="","",VLOOKUP(WEEKDAY(DATE($A$7,$A$9+1-1,MP11),2),Auxiliar!$D$1:$E$7,2,0))</f>
        <v>Sab</v>
      </c>
      <c r="MQ12" s="67" t="str">
        <f>IF(MQ$11="","",VLOOKUP(WEEKDAY(DATE($A$7,$A$9+1-1,MQ11),2),Auxiliar!$D$1:$E$7,2,0))</f>
        <v>Dom</v>
      </c>
      <c r="MR12" s="67" t="str">
        <f>IF(MR$11="","",VLOOKUP(WEEKDAY(DATE($A$7,$A$9+1-1,MR11),2),Auxiliar!$D$1:$E$7,2,0))</f>
        <v>Lun</v>
      </c>
      <c r="MS12" s="67" t="str">
        <f>IF(MS$11="","",VLOOKUP(WEEKDAY(DATE($A$7,$A$9+1-1,MS11),2),Auxiliar!$D$1:$E$7,2,0))</f>
        <v>Mar</v>
      </c>
      <c r="MT12" s="67" t="str">
        <f>IF(MT$11="","",VLOOKUP(WEEKDAY(DATE($A$7,$A$9+1-1,MT11),2),Auxiliar!$D$1:$E$7,2,0))</f>
        <v>Mie</v>
      </c>
      <c r="MU12" s="67" t="str">
        <f>IF(MU$11="","",VLOOKUP(WEEKDAY(DATE($A$7,$A$9+1-1,MU11),2),Auxiliar!$D$1:$E$7,2,0))</f>
        <v>Jue</v>
      </c>
      <c r="MV12" s="67" t="str">
        <f>IF(MV$11="","",VLOOKUP(WEEKDAY(DATE($A$7,$A$9+1-1,MV11),2),Auxiliar!$D$1:$E$7,2,0))</f>
        <v>Vie</v>
      </c>
      <c r="MW12" s="67" t="str">
        <f>IF(MW$11="","",VLOOKUP(WEEKDAY(DATE($A$7,$A$9+1-1,MW11),2),Auxiliar!$D$1:$E$7,2,0))</f>
        <v>Sab</v>
      </c>
      <c r="MX12" s="67" t="str">
        <f>IF(MX$11="","",VLOOKUP(WEEKDAY(DATE($A$7,$A$9+1-1,MX11),2),Auxiliar!$D$1:$E$7,2,0))</f>
        <v>Dom</v>
      </c>
      <c r="MY12" s="67" t="str">
        <f>IF(MY$11="","",VLOOKUP(WEEKDAY(DATE($A$7,$A$9+1-1,MY11),2),Auxiliar!$D$1:$E$7,2,0))</f>
        <v>Lun</v>
      </c>
      <c r="MZ12" s="67" t="str">
        <f>IF(MZ$11="","",VLOOKUP(WEEKDAY(DATE($A$7,$A$9+1-1,MZ11),2),Auxiliar!$D$1:$E$7,2,0))</f>
        <v>Mar</v>
      </c>
      <c r="NA12" s="67" t="str">
        <f>IF(NA$11="","",VLOOKUP(WEEKDAY(DATE($A$7,$A$9+1-1,NA11),2),Auxiliar!$D$1:$E$7,2,0))</f>
        <v>Mie</v>
      </c>
      <c r="NB12" s="67" t="str">
        <f>IF(NB$11="","",VLOOKUP(WEEKDAY(DATE($A$7,$A$9+1-1,NB11),2),Auxiliar!$D$1:$E$7,2,0))</f>
        <v>Jue</v>
      </c>
      <c r="NC12" s="67" t="str">
        <f>IF(NC$11="","",VLOOKUP(WEEKDAY(DATE($A$7,$A$9+1-1,NC11),2),Auxiliar!$D$1:$E$7,2,0))</f>
        <v>Vie</v>
      </c>
      <c r="ND12" s="67" t="str">
        <f>IF(ND$11="","",VLOOKUP(WEEKDAY(DATE($A$7,$A$9+1-1,ND11),2),Auxiliar!$D$1:$E$7,2,0))</f>
        <v>Sab</v>
      </c>
      <c r="NE12" s="67" t="str">
        <f>IF(NE$11="","",VLOOKUP(WEEKDAY(DATE($A$7,$A$9+1-1,NE11),2),Auxiliar!$D$1:$E$7,2,0))</f>
        <v>Dom</v>
      </c>
      <c r="NF12" s="67" t="str">
        <f>IF(NF$11="","",VLOOKUP(WEEKDAY(DATE($A$7,$A$9+1-1,NF11),2),Auxiliar!$D$1:$E$7,2,0))</f>
        <v>Lun</v>
      </c>
      <c r="NG12" s="67" t="str">
        <f>IF(NG$11="","",VLOOKUP(WEEKDAY(DATE($A$7,$A$9+1-1,NG11),2),Auxiliar!$D$1:$E$7,2,0))</f>
        <v>Mar</v>
      </c>
      <c r="NH12" s="67" t="str">
        <f>IF(NH$11="","",VLOOKUP(WEEKDAY(DATE($A$7,$A$9+1-1,NH11),2),Auxiliar!$D$1:$E$7,2,0))</f>
        <v>Mie</v>
      </c>
      <c r="NI12" s="68" t="str">
        <f>IF(NI$11="","",VLOOKUP(WEEKDAY(DATE($A$7,$A$9+1-1,NI11),2),Auxiliar!$D$1:$E$7,2,0))</f>
        <v>Jue</v>
      </c>
      <c r="NJ12" s="32"/>
      <c r="NK12" s="39"/>
      <c r="NL12" s="48"/>
      <c r="NM12" s="49"/>
      <c r="NN12" s="54"/>
      <c r="NO12" s="55"/>
      <c r="NP12" s="45"/>
      <c r="NQ12" s="58" t="s">
        <v>22</v>
      </c>
      <c r="NR12" s="58" t="s">
        <v>0</v>
      </c>
      <c r="NS12" s="58" t="s">
        <v>66</v>
      </c>
      <c r="NT12" s="58" t="s">
        <v>30</v>
      </c>
    </row>
    <row r="13" spans="1:756" ht="15.5" x14ac:dyDescent="0.35">
      <c r="A13" s="3" t="s">
        <v>44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 t="s">
        <v>68</v>
      </c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33"/>
      <c r="NK13" s="39"/>
      <c r="NL13" s="48"/>
      <c r="NN13" s="76" t="str" cm="1">
        <f t="array" aca="1" ref="NN13" ca="1">IF(SUMPRODUCT((OFFSET($A13,0,31*($A$9-1)+1,1,31)&lt;&gt;"")*(IF(OFFSET($A13,0,31*($A$9-1)+1,1,31)=$NL$9,0.5,IF(OFFSET($A13,0,31*($A$9-1)+1,1,31)=$NL$8,0,1))*(OFFSET($A$9,0,31*($A$9-1)+1,1,31))))=0,"",SUMPRODUCT((OFFSET($A13,0,31*($A$9-1)+1,1,31)&lt;&gt;"")*(IF(OFFSET($A13,0,31*($A$9-1)+1,1,31)=$NL$9,0.5,IF(OFFSET($A13,0,31*($A$9-1)+1,1,31)=$NL$8,0,1))*(OFFSET($A$9,0,31*($A$9-1)+1,1,31)))))</f>
        <v/>
      </c>
      <c r="NO13" s="77" t="str" cm="1">
        <f t="array" aca="1" ref="NO13" ca="1">IF(SUMPRODUCT((OFFSET($A13,0,1,1,372)&lt;&gt;"")*(IF(OFFSET($A13,0,1,1,372)=$NL$9,0.5,IF(OFFSET($A13,0,1,1,372)=$NL$8,0,1))*(OFFSET($A$9,0,1,1,372))))=0,"",SUMPRODUCT((OFFSET($A13,0,1,1,372)&lt;&gt;"")*(IF(OFFSET($A13,0,1,1,372)=$NL$9,0.5,IF(OFFSET($A13,0,1,1,372)=$NL$8,0,1))*(OFFSET($A$9,0,1,1,372)))))</f>
        <v/>
      </c>
      <c r="NP13" s="46"/>
      <c r="NQ13" s="75" t="str">
        <f t="array" aca="1" ref="NQ13" ca="1">IF(SUMPRODUCT((OFFSET($A13,0,1,1,372)&lt;&gt;"")*(OFFSET($A$9,0,1,1,372))*((OFFSET($A13,0,1,1,372))=NL$5))=0,"",SUMPRODUCT((OFFSET($A13,0,1,1,372)&lt;&gt;"")*(OFFSET($A$9,0,1,1,372))*((OFFSET($A13,0,1,1,372))=NL$5)))</f>
        <v/>
      </c>
      <c r="NR13" s="75" t="str">
        <f t="array" aca="1" ref="NR13" ca="1">IF(SUMPRODUCT((OFFSET($A13,0,1,1,372)&lt;&gt;"")*(OFFSET($A$9,0,1,1,372))*((OFFSET($A13,0,1,1,372))=NL$6))=0,"",SUMPRODUCT((OFFSET($A13,0,1,1,372)&lt;&gt;"")*(OFFSET($A$9,0,1,1,372))*((OFFSET($A13,0,1,1,372))=NL$6)))</f>
        <v/>
      </c>
      <c r="NS13" s="75" t="str">
        <f t="array" aca="1" ref="NS13" ca="1">IF(SUMPRODUCT((OFFSET($A13,0,1,1,372)&lt;&gt;"")*(OFFSET($A$9,0,1,1,372))*((OFFSET($A13,0,1,1,372))=NL$7))=0,"",SUMPRODUCT((OFFSET($A13,0,1,1,372)&lt;&gt;"")*(OFFSET($A$9,0,1,1,372))*((OFFSET($A13,0,1,1,372))=NL$7)))</f>
        <v/>
      </c>
      <c r="NT13" s="75" t="str" cm="1">
        <f t="array" aca="1" ref="NT13" ca="1">IF(SUMPRODUCT((OFFSET($A13,0,1,1,372)&lt;&gt;"")*(OFFSET($A$9,0,1,1,372))*((OFFSET($A13,0,1,1,372))=NL$9))=0,"",SUMPRODUCT((OFFSET($A13,0,1,1,372)&lt;&gt;"")*(OFFSET($A$9,0,1,1,372))*((OFFSET($A13,0,1,1,372))=NL$9)))</f>
        <v/>
      </c>
    </row>
    <row r="14" spans="1:756" ht="15.5" x14ac:dyDescent="0.35">
      <c r="A14" s="3" t="s">
        <v>45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33"/>
      <c r="NK14" s="39"/>
      <c r="NL14" s="48"/>
      <c r="NN14" s="76" t="str" cm="1">
        <f t="array" aca="1" ref="NN14" ca="1">IF(SUMPRODUCT((OFFSET($A14,0,31*($A$9-1)+1,1,31)&lt;&gt;"")*(IF(OFFSET($A14,0,31*($A$9-1)+1,1,31)=$NL$9,0.5,IF(OFFSET($A14,0,31*($A$9-1)+1,1,31)=$NL$8,0,1))*(OFFSET($A$9,0,31*($A$9-1)+1,1,31))))=0,"",SUMPRODUCT((OFFSET($A14,0,31*($A$9-1)+1,1,31)&lt;&gt;"")*(IF(OFFSET($A14,0,31*($A$9-1)+1,1,31)=$NL$9,0.5,IF(OFFSET($A14,0,31*($A$9-1)+1,1,31)=$NL$8,0,1))*(OFFSET($A$9,0,31*($A$9-1)+1,1,31)))))</f>
        <v/>
      </c>
      <c r="NO14" s="77" t="str" cm="1">
        <f t="array" aca="1" ref="NO14" ca="1">IF(SUMPRODUCT((OFFSET($A14,0,1,1,372)&lt;&gt;"")*(IF(OFFSET($A14,0,1,1,372)=$NL$9,0.5,IF(OFFSET($A14,0,1,1,372)=$NL$8,0,1))*(OFFSET($A$9,0,1,1,372))))=0,"",SUMPRODUCT((OFFSET($A14,0,1,1,372)&lt;&gt;"")*(IF(OFFSET($A14,0,1,1,372)=$NL$9,0.5,IF(OFFSET($A14,0,1,1,372)=$NL$8,0,1))*(OFFSET($A$9,0,1,1,372)))))</f>
        <v/>
      </c>
      <c r="NP14" s="46"/>
      <c r="NQ14" s="75" t="str">
        <f t="array" aca="1" ref="NQ14" ca="1">IF(SUMPRODUCT((OFFSET($A14,0,1,1,372)&lt;&gt;"")*(OFFSET($A$9,0,1,1,372))*((OFFSET($A14,0,1,1,372))=NL$5))=0,"",SUMPRODUCT((OFFSET($A14,0,1,1,372)&lt;&gt;"")*(OFFSET($A$9,0,1,1,372))*((OFFSET($A14,0,1,1,372))=NL$5)))</f>
        <v/>
      </c>
      <c r="NR14" s="75" t="str">
        <f t="array" aca="1" ref="NR14" ca="1">IF(SUMPRODUCT((OFFSET($A14,0,1,1,372)&lt;&gt;"")*(OFFSET($A$9,0,1,1,372))*((OFFSET($A14,0,1,1,372))=NL$6))=0,"",SUMPRODUCT((OFFSET($A14,0,1,1,372)&lt;&gt;"")*(OFFSET($A$9,0,1,1,372))*((OFFSET($A14,0,1,1,372))=NL$6)))</f>
        <v/>
      </c>
      <c r="NS14" s="75" t="str">
        <f t="array" aca="1" ref="NS14" ca="1">IF(SUMPRODUCT((OFFSET($A14,0,1,1,372)&lt;&gt;"")*(OFFSET($A$9,0,1,1,372))*((OFFSET($A14,0,1,1,372))=NL$7))=0,"",SUMPRODUCT((OFFSET($A14,0,1,1,372)&lt;&gt;"")*(OFFSET($A$9,0,1,1,372))*((OFFSET($A14,0,1,1,372))=NL$7)))</f>
        <v/>
      </c>
      <c r="NT14" s="75" t="str" cm="1">
        <f t="array" aca="1" ref="NT14" ca="1">IF(SUMPRODUCT((OFFSET($A14,0,1,1,372)&lt;&gt;"")*(OFFSET($A$9,0,1,1,372))*((OFFSET($A14,0,1,1,372))=NL$9))=0,"",SUMPRODUCT((OFFSET($A14,0,1,1,372)&lt;&gt;"")*(OFFSET($A$9,0,1,1,372))*((OFFSET($A14,0,1,1,372))=NL$9)))</f>
        <v/>
      </c>
    </row>
    <row r="15" spans="1:756" ht="15.5" x14ac:dyDescent="0.35">
      <c r="A15" s="3" t="s">
        <v>46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 t="s">
        <v>68</v>
      </c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33"/>
      <c r="NK15" s="39"/>
      <c r="NL15" s="48"/>
      <c r="NN15" s="76" t="str" cm="1">
        <f t="array" aca="1" ref="NN15" ca="1">IF(SUMPRODUCT((OFFSET($A15,0,31*($A$9-1)+1,1,31)&lt;&gt;"")*(IF(OFFSET($A15,0,31*($A$9-1)+1,1,31)=$NL$9,0.5,IF(OFFSET($A15,0,31*($A$9-1)+1,1,31)=$NL$8,0,1))*(OFFSET($A$9,0,31*($A$9-1)+1,1,31))))=0,"",SUMPRODUCT((OFFSET($A15,0,31*($A$9-1)+1,1,31)&lt;&gt;"")*(IF(OFFSET($A15,0,31*($A$9-1)+1,1,31)=$NL$9,0.5,IF(OFFSET($A15,0,31*($A$9-1)+1,1,31)=$NL$8,0,1))*(OFFSET($A$9,0,31*($A$9-1)+1,1,31)))))</f>
        <v/>
      </c>
      <c r="NO15" s="77" t="str" cm="1">
        <f t="array" aca="1" ref="NO15" ca="1">IF(SUMPRODUCT((OFFSET($A15,0,1,1,372)&lt;&gt;"")*(IF(OFFSET($A15,0,1,1,372)=$NL$9,0.5,IF(OFFSET($A15,0,1,1,372)=$NL$8,0,1))*(OFFSET($A$9,0,1,1,372))))=0,"",SUMPRODUCT((OFFSET($A15,0,1,1,372)&lt;&gt;"")*(IF(OFFSET($A15,0,1,1,372)=$NL$9,0.5,IF(OFFSET($A15,0,1,1,372)=$NL$8,0,1))*(OFFSET($A$9,0,1,1,372)))))</f>
        <v/>
      </c>
      <c r="NP15" s="46"/>
      <c r="NQ15" s="75" t="str">
        <f t="array" aca="1" ref="NQ15" ca="1">IF(SUMPRODUCT((OFFSET($A15,0,1,1,372)&lt;&gt;"")*(OFFSET($A$9,0,1,1,372))*((OFFSET($A15,0,1,1,372))=NL$5))=0,"",SUMPRODUCT((OFFSET($A15,0,1,1,372)&lt;&gt;"")*(OFFSET($A$9,0,1,1,372))*((OFFSET($A15,0,1,1,372))=NL$5)))</f>
        <v/>
      </c>
      <c r="NR15" s="75" t="str">
        <f t="array" aca="1" ref="NR15" ca="1">IF(SUMPRODUCT((OFFSET($A15,0,1,1,372)&lt;&gt;"")*(OFFSET($A$9,0,1,1,372))*((OFFSET($A15,0,1,1,372))=NL$6))=0,"",SUMPRODUCT((OFFSET($A15,0,1,1,372)&lt;&gt;"")*(OFFSET($A$9,0,1,1,372))*((OFFSET($A15,0,1,1,372))=NL$6)))</f>
        <v/>
      </c>
      <c r="NS15" s="75" t="str">
        <f t="array" aca="1" ref="NS15" ca="1">IF(SUMPRODUCT((OFFSET($A15,0,1,1,372)&lt;&gt;"")*(OFFSET($A$9,0,1,1,372))*((OFFSET($A15,0,1,1,372))=NL$7))=0,"",SUMPRODUCT((OFFSET($A15,0,1,1,372)&lt;&gt;"")*(OFFSET($A$9,0,1,1,372))*((OFFSET($A15,0,1,1,372))=NL$7)))</f>
        <v/>
      </c>
      <c r="NT15" s="75" t="str" cm="1">
        <f t="array" aca="1" ref="NT15" ca="1">IF(SUMPRODUCT((OFFSET($A15,0,1,1,372)&lt;&gt;"")*(OFFSET($A$9,0,1,1,372))*((OFFSET($A15,0,1,1,372))=NL$9))=0,"",SUMPRODUCT((OFFSET($A15,0,1,1,372)&lt;&gt;"")*(OFFSET($A$9,0,1,1,372))*((OFFSET($A15,0,1,1,372))=NL$9)))</f>
        <v/>
      </c>
    </row>
    <row r="16" spans="1:756" ht="15.5" x14ac:dyDescent="0.35">
      <c r="A16" s="3" t="s">
        <v>47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 t="s">
        <v>68</v>
      </c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33"/>
      <c r="NK16" s="39"/>
      <c r="NL16" s="48"/>
      <c r="NN16" s="76" t="str" cm="1">
        <f t="array" aca="1" ref="NN16" ca="1">IF(SUMPRODUCT((OFFSET($A16,0,31*($A$9-1)+1,1,31)&lt;&gt;"")*(IF(OFFSET($A16,0,31*($A$9-1)+1,1,31)=$NL$9,0.5,IF(OFFSET($A16,0,31*($A$9-1)+1,1,31)=$NL$8,0,1))*(OFFSET($A$9,0,31*($A$9-1)+1,1,31))))=0,"",SUMPRODUCT((OFFSET($A16,0,31*($A$9-1)+1,1,31)&lt;&gt;"")*(IF(OFFSET($A16,0,31*($A$9-1)+1,1,31)=$NL$9,0.5,IF(OFFSET($A16,0,31*($A$9-1)+1,1,31)=$NL$8,0,1))*(OFFSET($A$9,0,31*($A$9-1)+1,1,31)))))</f>
        <v/>
      </c>
      <c r="NO16" s="77" t="str" cm="1">
        <f t="array" aca="1" ref="NO16" ca="1">IF(SUMPRODUCT((OFFSET($A16,0,1,1,372)&lt;&gt;"")*(IF(OFFSET($A16,0,1,1,372)=$NL$9,0.5,IF(OFFSET($A16,0,1,1,372)=$NL$8,0,1))*(OFFSET($A$9,0,1,1,372))))=0,"",SUMPRODUCT((OFFSET($A16,0,1,1,372)&lt;&gt;"")*(IF(OFFSET($A16,0,1,1,372)=$NL$9,0.5,IF(OFFSET($A16,0,1,1,372)=$NL$8,0,1))*(OFFSET($A$9,0,1,1,372)))))</f>
        <v/>
      </c>
      <c r="NP16" s="46"/>
      <c r="NQ16" s="75" t="str">
        <f t="array" aca="1" ref="NQ16" ca="1">IF(SUMPRODUCT((OFFSET($A16,0,1,1,372)&lt;&gt;"")*(OFFSET($A$9,0,1,1,372))*((OFFSET($A16,0,1,1,372))=NL$5))=0,"",SUMPRODUCT((OFFSET($A16,0,1,1,372)&lt;&gt;"")*(OFFSET($A$9,0,1,1,372))*((OFFSET($A16,0,1,1,372))=NL$5)))</f>
        <v/>
      </c>
      <c r="NR16" s="75" t="str">
        <f t="array" aca="1" ref="NR16" ca="1">IF(SUMPRODUCT((OFFSET($A16,0,1,1,372)&lt;&gt;"")*(OFFSET($A$9,0,1,1,372))*((OFFSET($A16,0,1,1,372))=NL$6))=0,"",SUMPRODUCT((OFFSET($A16,0,1,1,372)&lt;&gt;"")*(OFFSET($A$9,0,1,1,372))*((OFFSET($A16,0,1,1,372))=NL$6)))</f>
        <v/>
      </c>
      <c r="NS16" s="75" t="str">
        <f t="array" aca="1" ref="NS16" ca="1">IF(SUMPRODUCT((OFFSET($A16,0,1,1,372)&lt;&gt;"")*(OFFSET($A$9,0,1,1,372))*((OFFSET($A16,0,1,1,372))=NL$7))=0,"",SUMPRODUCT((OFFSET($A16,0,1,1,372)&lt;&gt;"")*(OFFSET($A$9,0,1,1,372))*((OFFSET($A16,0,1,1,372))=NL$7)))</f>
        <v/>
      </c>
      <c r="NT16" s="75" t="str" cm="1">
        <f t="array" aca="1" ref="NT16" ca="1">IF(SUMPRODUCT((OFFSET($A16,0,1,1,372)&lt;&gt;"")*(OFFSET($A$9,0,1,1,372))*((OFFSET($A16,0,1,1,372))=NL$9))=0,"",SUMPRODUCT((OFFSET($A16,0,1,1,372)&lt;&gt;"")*(OFFSET($A$9,0,1,1,372))*((OFFSET($A16,0,1,1,372))=NL$9)))</f>
        <v/>
      </c>
    </row>
    <row r="17" spans="1:396" ht="15.5" x14ac:dyDescent="0.35">
      <c r="A17" s="3" t="s">
        <v>48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 t="s">
        <v>68</v>
      </c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33"/>
      <c r="NK17" s="39"/>
      <c r="NL17" s="48"/>
      <c r="NN17" s="76" t="str" cm="1">
        <f t="array" aca="1" ref="NN17" ca="1">IF(SUMPRODUCT((OFFSET($A17,0,31*($A$9-1)+1,1,31)&lt;&gt;"")*(IF(OFFSET($A17,0,31*($A$9-1)+1,1,31)=$NL$9,0.5,IF(OFFSET($A17,0,31*($A$9-1)+1,1,31)=$NL$8,0,1))*(OFFSET($A$9,0,31*($A$9-1)+1,1,31))))=0,"",SUMPRODUCT((OFFSET($A17,0,31*($A$9-1)+1,1,31)&lt;&gt;"")*(IF(OFFSET($A17,0,31*($A$9-1)+1,1,31)=$NL$9,0.5,IF(OFFSET($A17,0,31*($A$9-1)+1,1,31)=$NL$8,0,1))*(OFFSET($A$9,0,31*($A$9-1)+1,1,31)))))</f>
        <v/>
      </c>
      <c r="NO17" s="77" t="str" cm="1">
        <f t="array" aca="1" ref="NO17" ca="1">IF(SUMPRODUCT((OFFSET($A17,0,1,1,372)&lt;&gt;"")*(IF(OFFSET($A17,0,1,1,372)=$NL$9,0.5,IF(OFFSET($A17,0,1,1,372)=$NL$8,0,1))*(OFFSET($A$9,0,1,1,372))))=0,"",SUMPRODUCT((OFFSET($A17,0,1,1,372)&lt;&gt;"")*(IF(OFFSET($A17,0,1,1,372)=$NL$9,0.5,IF(OFFSET($A17,0,1,1,372)=$NL$8,0,1))*(OFFSET($A$9,0,1,1,372)))))</f>
        <v/>
      </c>
      <c r="NP17" s="46"/>
      <c r="NQ17" s="75" t="str">
        <f t="array" aca="1" ref="NQ17" ca="1">IF(SUMPRODUCT((OFFSET($A17,0,1,1,372)&lt;&gt;"")*(OFFSET($A$9,0,1,1,372))*((OFFSET($A17,0,1,1,372))=NL$5))=0,"",SUMPRODUCT((OFFSET($A17,0,1,1,372)&lt;&gt;"")*(OFFSET($A$9,0,1,1,372))*((OFFSET($A17,0,1,1,372))=NL$5)))</f>
        <v/>
      </c>
      <c r="NR17" s="75" t="str">
        <f t="array" aca="1" ref="NR17" ca="1">IF(SUMPRODUCT((OFFSET($A17,0,1,1,372)&lt;&gt;"")*(OFFSET($A$9,0,1,1,372))*((OFFSET($A17,0,1,1,372))=NL$6))=0,"",SUMPRODUCT((OFFSET($A17,0,1,1,372)&lt;&gt;"")*(OFFSET($A$9,0,1,1,372))*((OFFSET($A17,0,1,1,372))=NL$6)))</f>
        <v/>
      </c>
      <c r="NS17" s="75" t="str">
        <f t="array" aca="1" ref="NS17" ca="1">IF(SUMPRODUCT((OFFSET($A17,0,1,1,372)&lt;&gt;"")*(OFFSET($A$9,0,1,1,372))*((OFFSET($A17,0,1,1,372))=NL$7))=0,"",SUMPRODUCT((OFFSET($A17,0,1,1,372)&lt;&gt;"")*(OFFSET($A$9,0,1,1,372))*((OFFSET($A17,0,1,1,372))=NL$7)))</f>
        <v/>
      </c>
      <c r="NT17" s="75" t="str" cm="1">
        <f t="array" aca="1" ref="NT17" ca="1">IF(SUMPRODUCT((OFFSET($A17,0,1,1,372)&lt;&gt;"")*(OFFSET($A$9,0,1,1,372))*((OFFSET($A17,0,1,1,372))=NL$9))=0,"",SUMPRODUCT((OFFSET($A17,0,1,1,372)&lt;&gt;"")*(OFFSET($A$9,0,1,1,372))*((OFFSET($A17,0,1,1,372))=NL$9)))</f>
        <v/>
      </c>
    </row>
    <row r="18" spans="1:396" ht="15.5" x14ac:dyDescent="0.35">
      <c r="A18" s="3" t="s">
        <v>49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 t="s">
        <v>68</v>
      </c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33"/>
      <c r="NK18" s="39"/>
      <c r="NL18" s="48"/>
      <c r="NN18" s="76" t="str" cm="1">
        <f t="array" aca="1" ref="NN18" ca="1">IF(SUMPRODUCT((OFFSET($A18,0,31*($A$9-1)+1,1,31)&lt;&gt;"")*(IF(OFFSET($A18,0,31*($A$9-1)+1,1,31)=$NL$9,0.5,IF(OFFSET($A18,0,31*($A$9-1)+1,1,31)=$NL$8,0,1))*(OFFSET($A$9,0,31*($A$9-1)+1,1,31))))=0,"",SUMPRODUCT((OFFSET($A18,0,31*($A$9-1)+1,1,31)&lt;&gt;"")*(IF(OFFSET($A18,0,31*($A$9-1)+1,1,31)=$NL$9,0.5,IF(OFFSET($A18,0,31*($A$9-1)+1,1,31)=$NL$8,0,1))*(OFFSET($A$9,0,31*($A$9-1)+1,1,31)))))</f>
        <v/>
      </c>
      <c r="NO18" s="77" t="str" cm="1">
        <f t="array" aca="1" ref="NO18" ca="1">IF(SUMPRODUCT((OFFSET($A18,0,1,1,372)&lt;&gt;"")*(IF(OFFSET($A18,0,1,1,372)=$NL$9,0.5,IF(OFFSET($A18,0,1,1,372)=$NL$8,0,1))*(OFFSET($A$9,0,1,1,372))))=0,"",SUMPRODUCT((OFFSET($A18,0,1,1,372)&lt;&gt;"")*(IF(OFFSET($A18,0,1,1,372)=$NL$9,0.5,IF(OFFSET($A18,0,1,1,372)=$NL$8,0,1))*(OFFSET($A$9,0,1,1,372)))))</f>
        <v/>
      </c>
      <c r="NP18" s="46"/>
      <c r="NQ18" s="75" t="str">
        <f t="array" aca="1" ref="NQ18" ca="1">IF(SUMPRODUCT((OFFSET($A18,0,1,1,372)&lt;&gt;"")*(OFFSET($A$9,0,1,1,372))*((OFFSET($A18,0,1,1,372))=NL$5))=0,"",SUMPRODUCT((OFFSET($A18,0,1,1,372)&lt;&gt;"")*(OFFSET($A$9,0,1,1,372))*((OFFSET($A18,0,1,1,372))=NL$5)))</f>
        <v/>
      </c>
      <c r="NR18" s="75" t="str">
        <f t="array" aca="1" ref="NR18" ca="1">IF(SUMPRODUCT((OFFSET($A18,0,1,1,372)&lt;&gt;"")*(OFFSET($A$9,0,1,1,372))*((OFFSET($A18,0,1,1,372))=NL$6))=0,"",SUMPRODUCT((OFFSET($A18,0,1,1,372)&lt;&gt;"")*(OFFSET($A$9,0,1,1,372))*((OFFSET($A18,0,1,1,372))=NL$6)))</f>
        <v/>
      </c>
      <c r="NS18" s="75" t="str">
        <f t="array" aca="1" ref="NS18" ca="1">IF(SUMPRODUCT((OFFSET($A18,0,1,1,372)&lt;&gt;"")*(OFFSET($A$9,0,1,1,372))*((OFFSET($A18,0,1,1,372))=NL$7))=0,"",SUMPRODUCT((OFFSET($A18,0,1,1,372)&lt;&gt;"")*(OFFSET($A$9,0,1,1,372))*((OFFSET($A18,0,1,1,372))=NL$7)))</f>
        <v/>
      </c>
      <c r="NT18" s="75" t="str" cm="1">
        <f t="array" aca="1" ref="NT18" ca="1">IF(SUMPRODUCT((OFFSET($A18,0,1,1,372)&lt;&gt;"")*(OFFSET($A$9,0,1,1,372))*((OFFSET($A18,0,1,1,372))=NL$9))=0,"",SUMPRODUCT((OFFSET($A18,0,1,1,372)&lt;&gt;"")*(OFFSET($A$9,0,1,1,372))*((OFFSET($A18,0,1,1,372))=NL$9)))</f>
        <v/>
      </c>
    </row>
    <row r="19" spans="1:396" ht="15.5" x14ac:dyDescent="0.35">
      <c r="A19" s="3" t="s">
        <v>50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 t="s">
        <v>68</v>
      </c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33"/>
      <c r="NK19" s="39"/>
      <c r="NL19" s="48"/>
      <c r="NN19" s="76" t="str" cm="1">
        <f t="array" aca="1" ref="NN19" ca="1">IF(SUMPRODUCT((OFFSET($A19,0,31*($A$9-1)+1,1,31)&lt;&gt;"")*(IF(OFFSET($A19,0,31*($A$9-1)+1,1,31)=$NL$9,0.5,IF(OFFSET($A19,0,31*($A$9-1)+1,1,31)=$NL$8,0,1))*(OFFSET($A$9,0,31*($A$9-1)+1,1,31))))=0,"",SUMPRODUCT((OFFSET($A19,0,31*($A$9-1)+1,1,31)&lt;&gt;"")*(IF(OFFSET($A19,0,31*($A$9-1)+1,1,31)=$NL$9,0.5,IF(OFFSET($A19,0,31*($A$9-1)+1,1,31)=$NL$8,0,1))*(OFFSET($A$9,0,31*($A$9-1)+1,1,31)))))</f>
        <v/>
      </c>
      <c r="NO19" s="77" t="str" cm="1">
        <f t="array" aca="1" ref="NO19" ca="1">IF(SUMPRODUCT((OFFSET($A19,0,1,1,372)&lt;&gt;"")*(IF(OFFSET($A19,0,1,1,372)=$NL$9,0.5,IF(OFFSET($A19,0,1,1,372)=$NL$8,0,1))*(OFFSET($A$9,0,1,1,372))))=0,"",SUMPRODUCT((OFFSET($A19,0,1,1,372)&lt;&gt;"")*(IF(OFFSET($A19,0,1,1,372)=$NL$9,0.5,IF(OFFSET($A19,0,1,1,372)=$NL$8,0,1))*(OFFSET($A$9,0,1,1,372)))))</f>
        <v/>
      </c>
      <c r="NP19" s="46"/>
      <c r="NQ19" s="75" t="str">
        <f t="array" aca="1" ref="NQ19" ca="1">IF(SUMPRODUCT((OFFSET($A19,0,1,1,372)&lt;&gt;"")*(OFFSET($A$9,0,1,1,372))*((OFFSET($A19,0,1,1,372))=NL$5))=0,"",SUMPRODUCT((OFFSET($A19,0,1,1,372)&lt;&gt;"")*(OFFSET($A$9,0,1,1,372))*((OFFSET($A19,0,1,1,372))=NL$5)))</f>
        <v/>
      </c>
      <c r="NR19" s="75" t="str">
        <f t="array" aca="1" ref="NR19" ca="1">IF(SUMPRODUCT((OFFSET($A19,0,1,1,372)&lt;&gt;"")*(OFFSET($A$9,0,1,1,372))*((OFFSET($A19,0,1,1,372))=NL$6))=0,"",SUMPRODUCT((OFFSET($A19,0,1,1,372)&lt;&gt;"")*(OFFSET($A$9,0,1,1,372))*((OFFSET($A19,0,1,1,372))=NL$6)))</f>
        <v/>
      </c>
      <c r="NS19" s="75" t="str">
        <f t="array" aca="1" ref="NS19" ca="1">IF(SUMPRODUCT((OFFSET($A19,0,1,1,372)&lt;&gt;"")*(OFFSET($A$9,0,1,1,372))*((OFFSET($A19,0,1,1,372))=NL$7))=0,"",SUMPRODUCT((OFFSET($A19,0,1,1,372)&lt;&gt;"")*(OFFSET($A$9,0,1,1,372))*((OFFSET($A19,0,1,1,372))=NL$7)))</f>
        <v/>
      </c>
      <c r="NT19" s="75" t="str" cm="1">
        <f t="array" aca="1" ref="NT19" ca="1">IF(SUMPRODUCT((OFFSET($A19,0,1,1,372)&lt;&gt;"")*(OFFSET($A$9,0,1,1,372))*((OFFSET($A19,0,1,1,372))=NL$9))=0,"",SUMPRODUCT((OFFSET($A19,0,1,1,372)&lt;&gt;"")*(OFFSET($A$9,0,1,1,372))*((OFFSET($A19,0,1,1,372))=NL$9)))</f>
        <v/>
      </c>
    </row>
    <row r="20" spans="1:396" ht="15.5" x14ac:dyDescent="0.35">
      <c r="A20" s="3" t="s">
        <v>51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 t="s">
        <v>68</v>
      </c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33"/>
      <c r="NK20" s="39"/>
      <c r="NL20" s="48"/>
      <c r="NN20" s="76" t="str" cm="1">
        <f t="array" aca="1" ref="NN20" ca="1">IF(SUMPRODUCT((OFFSET($A20,0,31*($A$9-1)+1,1,31)&lt;&gt;"")*(IF(OFFSET($A20,0,31*($A$9-1)+1,1,31)=$NL$9,0.5,IF(OFFSET($A20,0,31*($A$9-1)+1,1,31)=$NL$8,0,1))*(OFFSET($A$9,0,31*($A$9-1)+1,1,31))))=0,"",SUMPRODUCT((OFFSET($A20,0,31*($A$9-1)+1,1,31)&lt;&gt;"")*(IF(OFFSET($A20,0,31*($A$9-1)+1,1,31)=$NL$9,0.5,IF(OFFSET($A20,0,31*($A$9-1)+1,1,31)=$NL$8,0,1))*(OFFSET($A$9,0,31*($A$9-1)+1,1,31)))))</f>
        <v/>
      </c>
      <c r="NO20" s="77" t="str" cm="1">
        <f t="array" aca="1" ref="NO20" ca="1">IF(SUMPRODUCT((OFFSET($A20,0,1,1,372)&lt;&gt;"")*(IF(OFFSET($A20,0,1,1,372)=$NL$9,0.5,IF(OFFSET($A20,0,1,1,372)=$NL$8,0,1))*(OFFSET($A$9,0,1,1,372))))=0,"",SUMPRODUCT((OFFSET($A20,0,1,1,372)&lt;&gt;"")*(IF(OFFSET($A20,0,1,1,372)=$NL$9,0.5,IF(OFFSET($A20,0,1,1,372)=$NL$8,0,1))*(OFFSET($A$9,0,1,1,372)))))</f>
        <v/>
      </c>
      <c r="NP20" s="46"/>
      <c r="NQ20" s="75" t="str">
        <f t="array" aca="1" ref="NQ20" ca="1">IF(SUMPRODUCT((OFFSET($A20,0,1,1,372)&lt;&gt;"")*(OFFSET($A$9,0,1,1,372))*((OFFSET($A20,0,1,1,372))=NL$5))=0,"",SUMPRODUCT((OFFSET($A20,0,1,1,372)&lt;&gt;"")*(OFFSET($A$9,0,1,1,372))*((OFFSET($A20,0,1,1,372))=NL$5)))</f>
        <v/>
      </c>
      <c r="NR20" s="75" t="str">
        <f t="array" aca="1" ref="NR20" ca="1">IF(SUMPRODUCT((OFFSET($A20,0,1,1,372)&lt;&gt;"")*(OFFSET($A$9,0,1,1,372))*((OFFSET($A20,0,1,1,372))=NL$6))=0,"",SUMPRODUCT((OFFSET($A20,0,1,1,372)&lt;&gt;"")*(OFFSET($A$9,0,1,1,372))*((OFFSET($A20,0,1,1,372))=NL$6)))</f>
        <v/>
      </c>
      <c r="NS20" s="75" t="str">
        <f t="array" aca="1" ref="NS20" ca="1">IF(SUMPRODUCT((OFFSET($A20,0,1,1,372)&lt;&gt;"")*(OFFSET($A$9,0,1,1,372))*((OFFSET($A20,0,1,1,372))=NL$7))=0,"",SUMPRODUCT((OFFSET($A20,0,1,1,372)&lt;&gt;"")*(OFFSET($A$9,0,1,1,372))*((OFFSET($A20,0,1,1,372))=NL$7)))</f>
        <v/>
      </c>
      <c r="NT20" s="75" t="str" cm="1">
        <f t="array" aca="1" ref="NT20" ca="1">IF(SUMPRODUCT((OFFSET($A20,0,1,1,372)&lt;&gt;"")*(OFFSET($A$9,0,1,1,372))*((OFFSET($A20,0,1,1,372))=NL$9))=0,"",SUMPRODUCT((OFFSET($A20,0,1,1,372)&lt;&gt;"")*(OFFSET($A$9,0,1,1,372))*((OFFSET($A20,0,1,1,372))=NL$9)))</f>
        <v/>
      </c>
    </row>
    <row r="21" spans="1:396" ht="15.5" x14ac:dyDescent="0.35">
      <c r="A21" s="3" t="s">
        <v>52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 t="s">
        <v>68</v>
      </c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33"/>
      <c r="NK21" s="39"/>
      <c r="NL21" s="48"/>
      <c r="NN21" s="76" t="str" cm="1">
        <f t="array" aca="1" ref="NN21" ca="1">IF(SUMPRODUCT((OFFSET($A21,0,31*($A$9-1)+1,1,31)&lt;&gt;"")*(IF(OFFSET($A21,0,31*($A$9-1)+1,1,31)=$NL$9,0.5,IF(OFFSET($A21,0,31*($A$9-1)+1,1,31)=$NL$8,0,1))*(OFFSET($A$9,0,31*($A$9-1)+1,1,31))))=0,"",SUMPRODUCT((OFFSET($A21,0,31*($A$9-1)+1,1,31)&lt;&gt;"")*(IF(OFFSET($A21,0,31*($A$9-1)+1,1,31)=$NL$9,0.5,IF(OFFSET($A21,0,31*($A$9-1)+1,1,31)=$NL$8,0,1))*(OFFSET($A$9,0,31*($A$9-1)+1,1,31)))))</f>
        <v/>
      </c>
      <c r="NO21" s="77" t="str" cm="1">
        <f t="array" aca="1" ref="NO21" ca="1">IF(SUMPRODUCT((OFFSET($A21,0,1,1,372)&lt;&gt;"")*(IF(OFFSET($A21,0,1,1,372)=$NL$9,0.5,IF(OFFSET($A21,0,1,1,372)=$NL$8,0,1))*(OFFSET($A$9,0,1,1,372))))=0,"",SUMPRODUCT((OFFSET($A21,0,1,1,372)&lt;&gt;"")*(IF(OFFSET($A21,0,1,1,372)=$NL$9,0.5,IF(OFFSET($A21,0,1,1,372)=$NL$8,0,1))*(OFFSET($A$9,0,1,1,372)))))</f>
        <v/>
      </c>
      <c r="NP21" s="46"/>
      <c r="NQ21" s="75" t="str">
        <f t="array" aca="1" ref="NQ21" ca="1">IF(SUMPRODUCT((OFFSET($A21,0,1,1,372)&lt;&gt;"")*(OFFSET($A$9,0,1,1,372))*((OFFSET($A21,0,1,1,372))=NL$5))=0,"",SUMPRODUCT((OFFSET($A21,0,1,1,372)&lt;&gt;"")*(OFFSET($A$9,0,1,1,372))*((OFFSET($A21,0,1,1,372))=NL$5)))</f>
        <v/>
      </c>
      <c r="NR21" s="75" t="str">
        <f t="array" aca="1" ref="NR21" ca="1">IF(SUMPRODUCT((OFFSET($A21,0,1,1,372)&lt;&gt;"")*(OFFSET($A$9,0,1,1,372))*((OFFSET($A21,0,1,1,372))=NL$6))=0,"",SUMPRODUCT((OFFSET($A21,0,1,1,372)&lt;&gt;"")*(OFFSET($A$9,0,1,1,372))*((OFFSET($A21,0,1,1,372))=NL$6)))</f>
        <v/>
      </c>
      <c r="NS21" s="75" t="str">
        <f t="array" aca="1" ref="NS21" ca="1">IF(SUMPRODUCT((OFFSET($A21,0,1,1,372)&lt;&gt;"")*(OFFSET($A$9,0,1,1,372))*((OFFSET($A21,0,1,1,372))=NL$7))=0,"",SUMPRODUCT((OFFSET($A21,0,1,1,372)&lt;&gt;"")*(OFFSET($A$9,0,1,1,372))*((OFFSET($A21,0,1,1,372))=NL$7)))</f>
        <v/>
      </c>
      <c r="NT21" s="75" t="str" cm="1">
        <f t="array" aca="1" ref="NT21" ca="1">IF(SUMPRODUCT((OFFSET($A21,0,1,1,372)&lt;&gt;"")*(OFFSET($A$9,0,1,1,372))*((OFFSET($A21,0,1,1,372))=NL$9))=0,"",SUMPRODUCT((OFFSET($A21,0,1,1,372)&lt;&gt;"")*(OFFSET($A$9,0,1,1,372))*((OFFSET($A21,0,1,1,372))=NL$9)))</f>
        <v/>
      </c>
    </row>
    <row r="22" spans="1:396" ht="15.5" x14ac:dyDescent="0.35">
      <c r="A22" s="3" t="s">
        <v>53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 t="s">
        <v>68</v>
      </c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33"/>
      <c r="NK22" s="39"/>
      <c r="NL22" s="48"/>
      <c r="NN22" s="76" t="str" cm="1">
        <f t="array" aca="1" ref="NN22" ca="1">IF(SUMPRODUCT((OFFSET($A22,0,31*($A$9-1)+1,1,31)&lt;&gt;"")*(IF(OFFSET($A22,0,31*($A$9-1)+1,1,31)=$NL$9,0.5,IF(OFFSET($A22,0,31*($A$9-1)+1,1,31)=$NL$8,0,1))*(OFFSET($A$9,0,31*($A$9-1)+1,1,31))))=0,"",SUMPRODUCT((OFFSET($A22,0,31*($A$9-1)+1,1,31)&lt;&gt;"")*(IF(OFFSET($A22,0,31*($A$9-1)+1,1,31)=$NL$9,0.5,IF(OFFSET($A22,0,31*($A$9-1)+1,1,31)=$NL$8,0,1))*(OFFSET($A$9,0,31*($A$9-1)+1,1,31)))))</f>
        <v/>
      </c>
      <c r="NO22" s="77" t="str" cm="1">
        <f t="array" aca="1" ref="NO22" ca="1">IF(SUMPRODUCT((OFFSET($A22,0,1,1,372)&lt;&gt;"")*(IF(OFFSET($A22,0,1,1,372)=$NL$9,0.5,IF(OFFSET($A22,0,1,1,372)=$NL$8,0,1))*(OFFSET($A$9,0,1,1,372))))=0,"",SUMPRODUCT((OFFSET($A22,0,1,1,372)&lt;&gt;"")*(IF(OFFSET($A22,0,1,1,372)=$NL$9,0.5,IF(OFFSET($A22,0,1,1,372)=$NL$8,0,1))*(OFFSET($A$9,0,1,1,372)))))</f>
        <v/>
      </c>
      <c r="NP22" s="46"/>
      <c r="NQ22" s="75" t="str">
        <f t="array" aca="1" ref="NQ22" ca="1">IF(SUMPRODUCT((OFFSET($A22,0,1,1,372)&lt;&gt;"")*(OFFSET($A$9,0,1,1,372))*((OFFSET($A22,0,1,1,372))=NL$5))=0,"",SUMPRODUCT((OFFSET($A22,0,1,1,372)&lt;&gt;"")*(OFFSET($A$9,0,1,1,372))*((OFFSET($A22,0,1,1,372))=NL$5)))</f>
        <v/>
      </c>
      <c r="NR22" s="75" t="str">
        <f t="array" aca="1" ref="NR22" ca="1">IF(SUMPRODUCT((OFFSET($A22,0,1,1,372)&lt;&gt;"")*(OFFSET($A$9,0,1,1,372))*((OFFSET($A22,0,1,1,372))=NL$6))=0,"",SUMPRODUCT((OFFSET($A22,0,1,1,372)&lt;&gt;"")*(OFFSET($A$9,0,1,1,372))*((OFFSET($A22,0,1,1,372))=NL$6)))</f>
        <v/>
      </c>
      <c r="NS22" s="75" t="str">
        <f t="array" aca="1" ref="NS22" ca="1">IF(SUMPRODUCT((OFFSET($A22,0,1,1,372)&lt;&gt;"")*(OFFSET($A$9,0,1,1,372))*((OFFSET($A22,0,1,1,372))=NL$7))=0,"",SUMPRODUCT((OFFSET($A22,0,1,1,372)&lt;&gt;"")*(OFFSET($A$9,0,1,1,372))*((OFFSET($A22,0,1,1,372))=NL$7)))</f>
        <v/>
      </c>
      <c r="NT22" s="75" t="str" cm="1">
        <f t="array" aca="1" ref="NT22" ca="1">IF(SUMPRODUCT((OFFSET($A22,0,1,1,372)&lt;&gt;"")*(OFFSET($A$9,0,1,1,372))*((OFFSET($A22,0,1,1,372))=NL$9))=0,"",SUMPRODUCT((OFFSET($A22,0,1,1,372)&lt;&gt;"")*(OFFSET($A$9,0,1,1,372))*((OFFSET($A22,0,1,1,372))=NL$9)))</f>
        <v/>
      </c>
    </row>
    <row r="23" spans="1:396" ht="15.5" x14ac:dyDescent="0.35">
      <c r="A23" s="3" t="s">
        <v>54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 t="s">
        <v>68</v>
      </c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33"/>
      <c r="NK23" s="39"/>
      <c r="NL23" s="48"/>
      <c r="NN23" s="76" t="str" cm="1">
        <f t="array" aca="1" ref="NN23" ca="1">IF(SUMPRODUCT((OFFSET($A23,0,31*($A$9-1)+1,1,31)&lt;&gt;"")*(IF(OFFSET($A23,0,31*($A$9-1)+1,1,31)=$NL$9,0.5,IF(OFFSET($A23,0,31*($A$9-1)+1,1,31)=$NL$8,0,1))*(OFFSET($A$9,0,31*($A$9-1)+1,1,31))))=0,"",SUMPRODUCT((OFFSET($A23,0,31*($A$9-1)+1,1,31)&lt;&gt;"")*(IF(OFFSET($A23,0,31*($A$9-1)+1,1,31)=$NL$9,0.5,IF(OFFSET($A23,0,31*($A$9-1)+1,1,31)=$NL$8,0,1))*(OFFSET($A$9,0,31*($A$9-1)+1,1,31)))))</f>
        <v/>
      </c>
      <c r="NO23" s="77" t="str" cm="1">
        <f t="array" aca="1" ref="NO23" ca="1">IF(SUMPRODUCT((OFFSET($A23,0,1,1,372)&lt;&gt;"")*(IF(OFFSET($A23,0,1,1,372)=$NL$9,0.5,IF(OFFSET($A23,0,1,1,372)=$NL$8,0,1))*(OFFSET($A$9,0,1,1,372))))=0,"",SUMPRODUCT((OFFSET($A23,0,1,1,372)&lt;&gt;"")*(IF(OFFSET($A23,0,1,1,372)=$NL$9,0.5,IF(OFFSET($A23,0,1,1,372)=$NL$8,0,1))*(OFFSET($A$9,0,1,1,372)))))</f>
        <v/>
      </c>
      <c r="NP23" s="46"/>
      <c r="NQ23" s="75" t="str">
        <f t="array" aca="1" ref="NQ23" ca="1">IF(SUMPRODUCT((OFFSET($A23,0,1,1,372)&lt;&gt;"")*(OFFSET($A$9,0,1,1,372))*((OFFSET($A23,0,1,1,372))=NL$5))=0,"",SUMPRODUCT((OFFSET($A23,0,1,1,372)&lt;&gt;"")*(OFFSET($A$9,0,1,1,372))*((OFFSET($A23,0,1,1,372))=NL$5)))</f>
        <v/>
      </c>
      <c r="NR23" s="75" t="str">
        <f t="array" aca="1" ref="NR23" ca="1">IF(SUMPRODUCT((OFFSET($A23,0,1,1,372)&lt;&gt;"")*(OFFSET($A$9,0,1,1,372))*((OFFSET($A23,0,1,1,372))=NL$6))=0,"",SUMPRODUCT((OFFSET($A23,0,1,1,372)&lt;&gt;"")*(OFFSET($A$9,0,1,1,372))*((OFFSET($A23,0,1,1,372))=NL$6)))</f>
        <v/>
      </c>
      <c r="NS23" s="75" t="str">
        <f t="array" aca="1" ref="NS23" ca="1">IF(SUMPRODUCT((OFFSET($A23,0,1,1,372)&lt;&gt;"")*(OFFSET($A$9,0,1,1,372))*((OFFSET($A23,0,1,1,372))=NL$7))=0,"",SUMPRODUCT((OFFSET($A23,0,1,1,372)&lt;&gt;"")*(OFFSET($A$9,0,1,1,372))*((OFFSET($A23,0,1,1,372))=NL$7)))</f>
        <v/>
      </c>
      <c r="NT23" s="75" t="str" cm="1">
        <f t="array" aca="1" ref="NT23" ca="1">IF(SUMPRODUCT((OFFSET($A23,0,1,1,372)&lt;&gt;"")*(OFFSET($A$9,0,1,1,372))*((OFFSET($A23,0,1,1,372))=NL$9))=0,"",SUMPRODUCT((OFFSET($A23,0,1,1,372)&lt;&gt;"")*(OFFSET($A$9,0,1,1,372))*((OFFSET($A23,0,1,1,372))=NL$9)))</f>
        <v/>
      </c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8"/>
    </row>
    <row r="24" spans="1:396" ht="15.5" x14ac:dyDescent="0.35">
      <c r="A24" s="3" t="s">
        <v>55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 t="s">
        <v>68</v>
      </c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33"/>
      <c r="NK24" s="39"/>
      <c r="NL24" s="48"/>
      <c r="NN24" s="76" t="str" cm="1">
        <f t="array" aca="1" ref="NN24" ca="1">IF(SUMPRODUCT((OFFSET($A24,0,31*($A$9-1)+1,1,31)&lt;&gt;"")*(IF(OFFSET($A24,0,31*($A$9-1)+1,1,31)=$NL$9,0.5,IF(OFFSET($A24,0,31*($A$9-1)+1,1,31)=$NL$8,0,1))*(OFFSET($A$9,0,31*($A$9-1)+1,1,31))))=0,"",SUMPRODUCT((OFFSET($A24,0,31*($A$9-1)+1,1,31)&lt;&gt;"")*(IF(OFFSET($A24,0,31*($A$9-1)+1,1,31)=$NL$9,0.5,IF(OFFSET($A24,0,31*($A$9-1)+1,1,31)=$NL$8,0,1))*(OFFSET($A$9,0,31*($A$9-1)+1,1,31)))))</f>
        <v/>
      </c>
      <c r="NO24" s="77" t="str" cm="1">
        <f t="array" aca="1" ref="NO24" ca="1">IF(SUMPRODUCT((OFFSET($A24,0,1,1,372)&lt;&gt;"")*(IF(OFFSET($A24,0,1,1,372)=$NL$9,0.5,IF(OFFSET($A24,0,1,1,372)=$NL$8,0,1))*(OFFSET($A$9,0,1,1,372))))=0,"",SUMPRODUCT((OFFSET($A24,0,1,1,372)&lt;&gt;"")*(IF(OFFSET($A24,0,1,1,372)=$NL$9,0.5,IF(OFFSET($A24,0,1,1,372)=$NL$8,0,1))*(OFFSET($A$9,0,1,1,372)))))</f>
        <v/>
      </c>
      <c r="NP24" s="46"/>
      <c r="NQ24" s="75" t="str">
        <f t="array" aca="1" ref="NQ24" ca="1">IF(SUMPRODUCT((OFFSET($A24,0,1,1,372)&lt;&gt;"")*(OFFSET($A$9,0,1,1,372))*((OFFSET($A24,0,1,1,372))=NL$5))=0,"",SUMPRODUCT((OFFSET($A24,0,1,1,372)&lt;&gt;"")*(OFFSET($A$9,0,1,1,372))*((OFFSET($A24,0,1,1,372))=NL$5)))</f>
        <v/>
      </c>
      <c r="NR24" s="75" t="str">
        <f t="array" aca="1" ref="NR24" ca="1">IF(SUMPRODUCT((OFFSET($A24,0,1,1,372)&lt;&gt;"")*(OFFSET($A$9,0,1,1,372))*((OFFSET($A24,0,1,1,372))=NL$6))=0,"",SUMPRODUCT((OFFSET($A24,0,1,1,372)&lt;&gt;"")*(OFFSET($A$9,0,1,1,372))*((OFFSET($A24,0,1,1,372))=NL$6)))</f>
        <v/>
      </c>
      <c r="NS24" s="75" t="str">
        <f t="array" aca="1" ref="NS24" ca="1">IF(SUMPRODUCT((OFFSET($A24,0,1,1,372)&lt;&gt;"")*(OFFSET($A$9,0,1,1,372))*((OFFSET($A24,0,1,1,372))=NL$7))=0,"",SUMPRODUCT((OFFSET($A24,0,1,1,372)&lt;&gt;"")*(OFFSET($A$9,0,1,1,372))*((OFFSET($A24,0,1,1,372))=NL$7)))</f>
        <v/>
      </c>
      <c r="NT24" s="75" t="str" cm="1">
        <f t="array" aca="1" ref="NT24" ca="1">IF(SUMPRODUCT((OFFSET($A24,0,1,1,372)&lt;&gt;"")*(OFFSET($A$9,0,1,1,372))*((OFFSET($A24,0,1,1,372))=NL$9))=0,"",SUMPRODUCT((OFFSET($A24,0,1,1,372)&lt;&gt;"")*(OFFSET($A$9,0,1,1,372))*((OFFSET($A24,0,1,1,372))=NL$9)))</f>
        <v/>
      </c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8"/>
    </row>
    <row r="25" spans="1:396" ht="15.5" x14ac:dyDescent="0.35">
      <c r="A25" s="3" t="s">
        <v>56</v>
      </c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 t="s">
        <v>68</v>
      </c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33"/>
      <c r="NK25" s="39"/>
      <c r="NL25" s="48"/>
      <c r="NN25" s="76" t="str" cm="1">
        <f t="array" aca="1" ref="NN25" ca="1">IF(SUMPRODUCT((OFFSET($A25,0,31*($A$9-1)+1,1,31)&lt;&gt;"")*(IF(OFFSET($A25,0,31*($A$9-1)+1,1,31)=$NL$9,0.5,IF(OFFSET($A25,0,31*($A$9-1)+1,1,31)=$NL$8,0,1))*(OFFSET($A$9,0,31*($A$9-1)+1,1,31))))=0,"",SUMPRODUCT((OFFSET($A25,0,31*($A$9-1)+1,1,31)&lt;&gt;"")*(IF(OFFSET($A25,0,31*($A$9-1)+1,1,31)=$NL$9,0.5,IF(OFFSET($A25,0,31*($A$9-1)+1,1,31)=$NL$8,0,1))*(OFFSET($A$9,0,31*($A$9-1)+1,1,31)))))</f>
        <v/>
      </c>
      <c r="NO25" s="77" t="str" cm="1">
        <f t="array" aca="1" ref="NO25" ca="1">IF(SUMPRODUCT((OFFSET($A25,0,1,1,372)&lt;&gt;"")*(IF(OFFSET($A25,0,1,1,372)=$NL$9,0.5,IF(OFFSET($A25,0,1,1,372)=$NL$8,0,1))*(OFFSET($A$9,0,1,1,372))))=0,"",SUMPRODUCT((OFFSET($A25,0,1,1,372)&lt;&gt;"")*(IF(OFFSET($A25,0,1,1,372)=$NL$9,0.5,IF(OFFSET($A25,0,1,1,372)=$NL$8,0,1))*(OFFSET($A$9,0,1,1,372)))))</f>
        <v/>
      </c>
      <c r="NP25" s="46"/>
      <c r="NQ25" s="75" t="str">
        <f t="array" aca="1" ref="NQ25" ca="1">IF(SUMPRODUCT((OFFSET($A25,0,1,1,372)&lt;&gt;"")*(OFFSET($A$9,0,1,1,372))*((OFFSET($A25,0,1,1,372))=NL$5))=0,"",SUMPRODUCT((OFFSET($A25,0,1,1,372)&lt;&gt;"")*(OFFSET($A$9,0,1,1,372))*((OFFSET($A25,0,1,1,372))=NL$5)))</f>
        <v/>
      </c>
      <c r="NR25" s="75" t="str">
        <f t="array" aca="1" ref="NR25" ca="1">IF(SUMPRODUCT((OFFSET($A25,0,1,1,372)&lt;&gt;"")*(OFFSET($A$9,0,1,1,372))*((OFFSET($A25,0,1,1,372))=NL$6))=0,"",SUMPRODUCT((OFFSET($A25,0,1,1,372)&lt;&gt;"")*(OFFSET($A$9,0,1,1,372))*((OFFSET($A25,0,1,1,372))=NL$6)))</f>
        <v/>
      </c>
      <c r="NS25" s="75" t="str">
        <f t="array" aca="1" ref="NS25" ca="1">IF(SUMPRODUCT((OFFSET($A25,0,1,1,372)&lt;&gt;"")*(OFFSET($A$9,0,1,1,372))*((OFFSET($A25,0,1,1,372))=NL$7))=0,"",SUMPRODUCT((OFFSET($A25,0,1,1,372)&lt;&gt;"")*(OFFSET($A$9,0,1,1,372))*((OFFSET($A25,0,1,1,372))=NL$7)))</f>
        <v/>
      </c>
      <c r="NT25" s="75" t="str" cm="1">
        <f t="array" aca="1" ref="NT25" ca="1">IF(SUMPRODUCT((OFFSET($A25,0,1,1,372)&lt;&gt;"")*(OFFSET($A$9,0,1,1,372))*((OFFSET($A25,0,1,1,372))=NL$9))=0,"",SUMPRODUCT((OFFSET($A25,0,1,1,372)&lt;&gt;"")*(OFFSET($A$9,0,1,1,372))*((OFFSET($A25,0,1,1,372))=NL$9)))</f>
        <v/>
      </c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8"/>
    </row>
    <row r="26" spans="1:396" ht="15.5" x14ac:dyDescent="0.35">
      <c r="A26" s="3" t="s">
        <v>57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 t="s">
        <v>68</v>
      </c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33"/>
      <c r="NK26" s="39"/>
      <c r="NL26" s="48"/>
      <c r="NN26" s="76" t="str" cm="1">
        <f t="array" aca="1" ref="NN26" ca="1">IF(SUMPRODUCT((OFFSET($A26,0,31*($A$9-1)+1,1,31)&lt;&gt;"")*(IF(OFFSET($A26,0,31*($A$9-1)+1,1,31)=$NL$9,0.5,IF(OFFSET($A26,0,31*($A$9-1)+1,1,31)=$NL$8,0,1))*(OFFSET($A$9,0,31*($A$9-1)+1,1,31))))=0,"",SUMPRODUCT((OFFSET($A26,0,31*($A$9-1)+1,1,31)&lt;&gt;"")*(IF(OFFSET($A26,0,31*($A$9-1)+1,1,31)=$NL$9,0.5,IF(OFFSET($A26,0,31*($A$9-1)+1,1,31)=$NL$8,0,1))*(OFFSET($A$9,0,31*($A$9-1)+1,1,31)))))</f>
        <v/>
      </c>
      <c r="NO26" s="77" t="str" cm="1">
        <f t="array" aca="1" ref="NO26" ca="1">IF(SUMPRODUCT((OFFSET($A26,0,1,1,372)&lt;&gt;"")*(IF(OFFSET($A26,0,1,1,372)=$NL$9,0.5,IF(OFFSET($A26,0,1,1,372)=$NL$8,0,1))*(OFFSET($A$9,0,1,1,372))))=0,"",SUMPRODUCT((OFFSET($A26,0,1,1,372)&lt;&gt;"")*(IF(OFFSET($A26,0,1,1,372)=$NL$9,0.5,IF(OFFSET($A26,0,1,1,372)=$NL$8,0,1))*(OFFSET($A$9,0,1,1,372)))))</f>
        <v/>
      </c>
      <c r="NP26" s="46"/>
      <c r="NQ26" s="75" t="str">
        <f t="array" aca="1" ref="NQ26" ca="1">IF(SUMPRODUCT((OFFSET($A26,0,1,1,372)&lt;&gt;"")*(OFFSET($A$9,0,1,1,372))*((OFFSET($A26,0,1,1,372))=NL$5))=0,"",SUMPRODUCT((OFFSET($A26,0,1,1,372)&lt;&gt;"")*(OFFSET($A$9,0,1,1,372))*((OFFSET($A26,0,1,1,372))=NL$5)))</f>
        <v/>
      </c>
      <c r="NR26" s="75" t="str">
        <f t="array" aca="1" ref="NR26" ca="1">IF(SUMPRODUCT((OFFSET($A26,0,1,1,372)&lt;&gt;"")*(OFFSET($A$9,0,1,1,372))*((OFFSET($A26,0,1,1,372))=NL$6))=0,"",SUMPRODUCT((OFFSET($A26,0,1,1,372)&lt;&gt;"")*(OFFSET($A$9,0,1,1,372))*((OFFSET($A26,0,1,1,372))=NL$6)))</f>
        <v/>
      </c>
      <c r="NS26" s="75" t="str">
        <f t="array" aca="1" ref="NS26" ca="1">IF(SUMPRODUCT((OFFSET($A26,0,1,1,372)&lt;&gt;"")*(OFFSET($A$9,0,1,1,372))*((OFFSET($A26,0,1,1,372))=NL$7))=0,"",SUMPRODUCT((OFFSET($A26,0,1,1,372)&lt;&gt;"")*(OFFSET($A$9,0,1,1,372))*((OFFSET($A26,0,1,1,372))=NL$7)))</f>
        <v/>
      </c>
      <c r="NT26" s="75" t="str" cm="1">
        <f t="array" aca="1" ref="NT26" ca="1">IF(SUMPRODUCT((OFFSET($A26,0,1,1,372)&lt;&gt;"")*(OFFSET($A$9,0,1,1,372))*((OFFSET($A26,0,1,1,372))=NL$9))=0,"",SUMPRODUCT((OFFSET($A26,0,1,1,372)&lt;&gt;"")*(OFFSET($A$9,0,1,1,372))*((OFFSET($A26,0,1,1,372))=NL$9)))</f>
        <v/>
      </c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8"/>
    </row>
    <row r="27" spans="1:396" ht="15.5" x14ac:dyDescent="0.35">
      <c r="A27" s="3" t="s">
        <v>58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 t="s">
        <v>68</v>
      </c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33"/>
      <c r="NK27" s="39"/>
      <c r="NL27" s="48"/>
      <c r="NN27" s="76" t="str" cm="1">
        <f t="array" aca="1" ref="NN27" ca="1">IF(SUMPRODUCT((OFFSET($A27,0,31*($A$9-1)+1,1,31)&lt;&gt;"")*(IF(OFFSET($A27,0,31*($A$9-1)+1,1,31)=$NL$9,0.5,IF(OFFSET($A27,0,31*($A$9-1)+1,1,31)=$NL$8,0,1))*(OFFSET($A$9,0,31*($A$9-1)+1,1,31))))=0,"",SUMPRODUCT((OFFSET($A27,0,31*($A$9-1)+1,1,31)&lt;&gt;"")*(IF(OFFSET($A27,0,31*($A$9-1)+1,1,31)=$NL$9,0.5,IF(OFFSET($A27,0,31*($A$9-1)+1,1,31)=$NL$8,0,1))*(OFFSET($A$9,0,31*($A$9-1)+1,1,31)))))</f>
        <v/>
      </c>
      <c r="NO27" s="77" t="str" cm="1">
        <f t="array" aca="1" ref="NO27" ca="1">IF(SUMPRODUCT((OFFSET($A27,0,1,1,372)&lt;&gt;"")*(IF(OFFSET($A27,0,1,1,372)=$NL$9,0.5,IF(OFFSET($A27,0,1,1,372)=$NL$8,0,1))*(OFFSET($A$9,0,1,1,372))))=0,"",SUMPRODUCT((OFFSET($A27,0,1,1,372)&lt;&gt;"")*(IF(OFFSET($A27,0,1,1,372)=$NL$9,0.5,IF(OFFSET($A27,0,1,1,372)=$NL$8,0,1))*(OFFSET($A$9,0,1,1,372)))))</f>
        <v/>
      </c>
      <c r="NP27" s="46"/>
      <c r="NQ27" s="75" t="str">
        <f t="array" aca="1" ref="NQ27" ca="1">IF(SUMPRODUCT((OFFSET($A27,0,1,1,372)&lt;&gt;"")*(OFFSET($A$9,0,1,1,372))*((OFFSET($A27,0,1,1,372))=NL$5))=0,"",SUMPRODUCT((OFFSET($A27,0,1,1,372)&lt;&gt;"")*(OFFSET($A$9,0,1,1,372))*((OFFSET($A27,0,1,1,372))=NL$5)))</f>
        <v/>
      </c>
      <c r="NR27" s="75" t="str">
        <f t="array" aca="1" ref="NR27" ca="1">IF(SUMPRODUCT((OFFSET($A27,0,1,1,372)&lt;&gt;"")*(OFFSET($A$9,0,1,1,372))*((OFFSET($A27,0,1,1,372))=NL$6))=0,"",SUMPRODUCT((OFFSET($A27,0,1,1,372)&lt;&gt;"")*(OFFSET($A$9,0,1,1,372))*((OFFSET($A27,0,1,1,372))=NL$6)))</f>
        <v/>
      </c>
      <c r="NS27" s="75" t="str">
        <f t="array" aca="1" ref="NS27" ca="1">IF(SUMPRODUCT((OFFSET($A27,0,1,1,372)&lt;&gt;"")*(OFFSET($A$9,0,1,1,372))*((OFFSET($A27,0,1,1,372))=NL$7))=0,"",SUMPRODUCT((OFFSET($A27,0,1,1,372)&lt;&gt;"")*(OFFSET($A$9,0,1,1,372))*((OFFSET($A27,0,1,1,372))=NL$7)))</f>
        <v/>
      </c>
      <c r="NT27" s="75" t="str" cm="1">
        <f t="array" aca="1" ref="NT27" ca="1">IF(SUMPRODUCT((OFFSET($A27,0,1,1,372)&lt;&gt;"")*(OFFSET($A$9,0,1,1,372))*((OFFSET($A27,0,1,1,372))=NL$9))=0,"",SUMPRODUCT((OFFSET($A27,0,1,1,372)&lt;&gt;"")*(OFFSET($A$9,0,1,1,372))*((OFFSET($A27,0,1,1,372))=NL$9)))</f>
        <v/>
      </c>
    </row>
    <row r="28" spans="1:396" ht="15.5" x14ac:dyDescent="0.35">
      <c r="A28" s="3" t="s">
        <v>59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 t="s">
        <v>68</v>
      </c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33"/>
      <c r="NK28" s="39"/>
      <c r="NL28" s="48"/>
      <c r="NN28" s="76" t="str" cm="1">
        <f t="array" aca="1" ref="NN28" ca="1">IF(SUMPRODUCT((OFFSET($A28,0,31*($A$9-1)+1,1,31)&lt;&gt;"")*(IF(OFFSET($A28,0,31*($A$9-1)+1,1,31)=$NL$9,0.5,IF(OFFSET($A28,0,31*($A$9-1)+1,1,31)=$NL$8,0,1))*(OFFSET($A$9,0,31*($A$9-1)+1,1,31))))=0,"",SUMPRODUCT((OFFSET($A28,0,31*($A$9-1)+1,1,31)&lt;&gt;"")*(IF(OFFSET($A28,0,31*($A$9-1)+1,1,31)=$NL$9,0.5,IF(OFFSET($A28,0,31*($A$9-1)+1,1,31)=$NL$8,0,1))*(OFFSET($A$9,0,31*($A$9-1)+1,1,31)))))</f>
        <v/>
      </c>
      <c r="NO28" s="77" t="str" cm="1">
        <f t="array" aca="1" ref="NO28" ca="1">IF(SUMPRODUCT((OFFSET($A28,0,1,1,372)&lt;&gt;"")*(IF(OFFSET($A28,0,1,1,372)=$NL$9,0.5,IF(OFFSET($A28,0,1,1,372)=$NL$8,0,1))*(OFFSET($A$9,0,1,1,372))))=0,"",SUMPRODUCT((OFFSET($A28,0,1,1,372)&lt;&gt;"")*(IF(OFFSET($A28,0,1,1,372)=$NL$9,0.5,IF(OFFSET($A28,0,1,1,372)=$NL$8,0,1))*(OFFSET($A$9,0,1,1,372)))))</f>
        <v/>
      </c>
      <c r="NP28" s="46"/>
      <c r="NQ28" s="75" t="str">
        <f t="array" aca="1" ref="NQ28" ca="1">IF(SUMPRODUCT((OFFSET($A28,0,1,1,372)&lt;&gt;"")*(OFFSET($A$9,0,1,1,372))*((OFFSET($A28,0,1,1,372))=NL$5))=0,"",SUMPRODUCT((OFFSET($A28,0,1,1,372)&lt;&gt;"")*(OFFSET($A$9,0,1,1,372))*((OFFSET($A28,0,1,1,372))=NL$5)))</f>
        <v/>
      </c>
      <c r="NR28" s="75" t="str">
        <f t="array" aca="1" ref="NR28" ca="1">IF(SUMPRODUCT((OFFSET($A28,0,1,1,372)&lt;&gt;"")*(OFFSET($A$9,0,1,1,372))*((OFFSET($A28,0,1,1,372))=NL$6))=0,"",SUMPRODUCT((OFFSET($A28,0,1,1,372)&lt;&gt;"")*(OFFSET($A$9,0,1,1,372))*((OFFSET($A28,0,1,1,372))=NL$6)))</f>
        <v/>
      </c>
      <c r="NS28" s="75" t="str">
        <f t="array" aca="1" ref="NS28" ca="1">IF(SUMPRODUCT((OFFSET($A28,0,1,1,372)&lt;&gt;"")*(OFFSET($A$9,0,1,1,372))*((OFFSET($A28,0,1,1,372))=NL$7))=0,"",SUMPRODUCT((OFFSET($A28,0,1,1,372)&lt;&gt;"")*(OFFSET($A$9,0,1,1,372))*((OFFSET($A28,0,1,1,372))=NL$7)))</f>
        <v/>
      </c>
      <c r="NT28" s="75" t="str" cm="1">
        <f t="array" aca="1" ref="NT28" ca="1">IF(SUMPRODUCT((OFFSET($A28,0,1,1,372)&lt;&gt;"")*(OFFSET($A$9,0,1,1,372))*((OFFSET($A28,0,1,1,372))=NL$9))=0,"",SUMPRODUCT((OFFSET($A28,0,1,1,372)&lt;&gt;"")*(OFFSET($A$9,0,1,1,372))*((OFFSET($A28,0,1,1,372))=NL$9)))</f>
        <v/>
      </c>
    </row>
    <row r="29" spans="1:396" ht="15.5" x14ac:dyDescent="0.35">
      <c r="A29" s="3" t="s">
        <v>60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 t="s">
        <v>68</v>
      </c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33"/>
      <c r="NK29" s="39"/>
      <c r="NL29" s="48"/>
      <c r="NN29" s="76" t="str" cm="1">
        <f t="array" aca="1" ref="NN29" ca="1">IF(SUMPRODUCT((OFFSET($A29,0,31*($A$9-1)+1,1,31)&lt;&gt;"")*(IF(OFFSET($A29,0,31*($A$9-1)+1,1,31)=$NL$9,0.5,IF(OFFSET($A29,0,31*($A$9-1)+1,1,31)=$NL$8,0,1))*(OFFSET($A$9,0,31*($A$9-1)+1,1,31))))=0,"",SUMPRODUCT((OFFSET($A29,0,31*($A$9-1)+1,1,31)&lt;&gt;"")*(IF(OFFSET($A29,0,31*($A$9-1)+1,1,31)=$NL$9,0.5,IF(OFFSET($A29,0,31*($A$9-1)+1,1,31)=$NL$8,0,1))*(OFFSET($A$9,0,31*($A$9-1)+1,1,31)))))</f>
        <v/>
      </c>
      <c r="NO29" s="77" t="str" cm="1">
        <f t="array" aca="1" ref="NO29" ca="1">IF(SUMPRODUCT((OFFSET($A29,0,1,1,372)&lt;&gt;"")*(IF(OFFSET($A29,0,1,1,372)=$NL$9,0.5,IF(OFFSET($A29,0,1,1,372)=$NL$8,0,1))*(OFFSET($A$9,0,1,1,372))))=0,"",SUMPRODUCT((OFFSET($A29,0,1,1,372)&lt;&gt;"")*(IF(OFFSET($A29,0,1,1,372)=$NL$9,0.5,IF(OFFSET($A29,0,1,1,372)=$NL$8,0,1))*(OFFSET($A$9,0,1,1,372)))))</f>
        <v/>
      </c>
      <c r="NP29" s="46"/>
      <c r="NQ29" s="75" t="str">
        <f t="array" aca="1" ref="NQ29" ca="1">IF(SUMPRODUCT((OFFSET($A29,0,1,1,372)&lt;&gt;"")*(OFFSET($A$9,0,1,1,372))*((OFFSET($A29,0,1,1,372))=NL$5))=0,"",SUMPRODUCT((OFFSET($A29,0,1,1,372)&lt;&gt;"")*(OFFSET($A$9,0,1,1,372))*((OFFSET($A29,0,1,1,372))=NL$5)))</f>
        <v/>
      </c>
      <c r="NR29" s="75" t="str">
        <f t="array" aca="1" ref="NR29" ca="1">IF(SUMPRODUCT((OFFSET($A29,0,1,1,372)&lt;&gt;"")*(OFFSET($A$9,0,1,1,372))*((OFFSET($A29,0,1,1,372))=NL$6))=0,"",SUMPRODUCT((OFFSET($A29,0,1,1,372)&lt;&gt;"")*(OFFSET($A$9,0,1,1,372))*((OFFSET($A29,0,1,1,372))=NL$6)))</f>
        <v/>
      </c>
      <c r="NS29" s="75" t="str">
        <f t="array" aca="1" ref="NS29" ca="1">IF(SUMPRODUCT((OFFSET($A29,0,1,1,372)&lt;&gt;"")*(OFFSET($A$9,0,1,1,372))*((OFFSET($A29,0,1,1,372))=NL$7))=0,"",SUMPRODUCT((OFFSET($A29,0,1,1,372)&lt;&gt;"")*(OFFSET($A$9,0,1,1,372))*((OFFSET($A29,0,1,1,372))=NL$7)))</f>
        <v/>
      </c>
      <c r="NT29" s="75" t="str" cm="1">
        <f t="array" aca="1" ref="NT29" ca="1">IF(SUMPRODUCT((OFFSET($A29,0,1,1,372)&lt;&gt;"")*(OFFSET($A$9,0,1,1,372))*((OFFSET($A29,0,1,1,372))=NL$9))=0,"",SUMPRODUCT((OFFSET($A29,0,1,1,372)&lt;&gt;"")*(OFFSET($A$9,0,1,1,372))*((OFFSET($A29,0,1,1,372))=NL$9)))</f>
        <v/>
      </c>
    </row>
    <row r="30" spans="1:396" ht="15.5" x14ac:dyDescent="0.35">
      <c r="A30" s="3" t="s">
        <v>61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 t="s">
        <v>68</v>
      </c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33"/>
      <c r="NK30" s="39"/>
      <c r="NL30" s="48"/>
      <c r="NN30" s="76" t="str" cm="1">
        <f t="array" aca="1" ref="NN30" ca="1">IF(SUMPRODUCT((OFFSET($A30,0,31*($A$9-1)+1,1,31)&lt;&gt;"")*(IF(OFFSET($A30,0,31*($A$9-1)+1,1,31)=$NL$9,0.5,IF(OFFSET($A30,0,31*($A$9-1)+1,1,31)=$NL$8,0,1))*(OFFSET($A$9,0,31*($A$9-1)+1,1,31))))=0,"",SUMPRODUCT((OFFSET($A30,0,31*($A$9-1)+1,1,31)&lt;&gt;"")*(IF(OFFSET($A30,0,31*($A$9-1)+1,1,31)=$NL$9,0.5,IF(OFFSET($A30,0,31*($A$9-1)+1,1,31)=$NL$8,0,1))*(OFFSET($A$9,0,31*($A$9-1)+1,1,31)))))</f>
        <v/>
      </c>
      <c r="NO30" s="77" t="str" cm="1">
        <f t="array" aca="1" ref="NO30" ca="1">IF(SUMPRODUCT((OFFSET($A30,0,1,1,372)&lt;&gt;"")*(IF(OFFSET($A30,0,1,1,372)=$NL$9,0.5,IF(OFFSET($A30,0,1,1,372)=$NL$8,0,1))*(OFFSET($A$9,0,1,1,372))))=0,"",SUMPRODUCT((OFFSET($A30,0,1,1,372)&lt;&gt;"")*(IF(OFFSET($A30,0,1,1,372)=$NL$9,0.5,IF(OFFSET($A30,0,1,1,372)=$NL$8,0,1))*(OFFSET($A$9,0,1,1,372)))))</f>
        <v/>
      </c>
      <c r="NP30" s="46"/>
      <c r="NQ30" s="75" t="str">
        <f t="array" aca="1" ref="NQ30" ca="1">IF(SUMPRODUCT((OFFSET($A30,0,1,1,372)&lt;&gt;"")*(OFFSET($A$9,0,1,1,372))*((OFFSET($A30,0,1,1,372))=NL$5))=0,"",SUMPRODUCT((OFFSET($A30,0,1,1,372)&lt;&gt;"")*(OFFSET($A$9,0,1,1,372))*((OFFSET($A30,0,1,1,372))=NL$5)))</f>
        <v/>
      </c>
      <c r="NR30" s="75" t="str">
        <f t="array" aca="1" ref="NR30" ca="1">IF(SUMPRODUCT((OFFSET($A30,0,1,1,372)&lt;&gt;"")*(OFFSET($A$9,0,1,1,372))*((OFFSET($A30,0,1,1,372))=NL$6))=0,"",SUMPRODUCT((OFFSET($A30,0,1,1,372)&lt;&gt;"")*(OFFSET($A$9,0,1,1,372))*((OFFSET($A30,0,1,1,372))=NL$6)))</f>
        <v/>
      </c>
      <c r="NS30" s="75" t="str">
        <f t="array" aca="1" ref="NS30" ca="1">IF(SUMPRODUCT((OFFSET($A30,0,1,1,372)&lt;&gt;"")*(OFFSET($A$9,0,1,1,372))*((OFFSET($A30,0,1,1,372))=NL$7))=0,"",SUMPRODUCT((OFFSET($A30,0,1,1,372)&lt;&gt;"")*(OFFSET($A$9,0,1,1,372))*((OFFSET($A30,0,1,1,372))=NL$7)))</f>
        <v/>
      </c>
      <c r="NT30" s="75" t="str" cm="1">
        <f t="array" aca="1" ref="NT30" ca="1">IF(SUMPRODUCT((OFFSET($A30,0,1,1,372)&lt;&gt;"")*(OFFSET($A$9,0,1,1,372))*((OFFSET($A30,0,1,1,372))=NL$9))=0,"",SUMPRODUCT((OFFSET($A30,0,1,1,372)&lt;&gt;"")*(OFFSET($A$9,0,1,1,372))*((OFFSET($A30,0,1,1,372))=NL$9)))</f>
        <v/>
      </c>
    </row>
    <row r="31" spans="1:396" ht="15.5" x14ac:dyDescent="0.35">
      <c r="A31" s="3" t="s">
        <v>62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 t="s">
        <v>68</v>
      </c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33"/>
      <c r="NK31" s="39"/>
      <c r="NL31" s="48"/>
      <c r="NN31" s="76" t="str" cm="1">
        <f t="array" aca="1" ref="NN31" ca="1">IF(SUMPRODUCT((OFFSET($A31,0,31*($A$9-1)+1,1,31)&lt;&gt;"")*(IF(OFFSET($A31,0,31*($A$9-1)+1,1,31)=$NL$9,0.5,IF(OFFSET($A31,0,31*($A$9-1)+1,1,31)=$NL$8,0,1))*(OFFSET($A$9,0,31*($A$9-1)+1,1,31))))=0,"",SUMPRODUCT((OFFSET($A31,0,31*($A$9-1)+1,1,31)&lt;&gt;"")*(IF(OFFSET($A31,0,31*($A$9-1)+1,1,31)=$NL$9,0.5,IF(OFFSET($A31,0,31*($A$9-1)+1,1,31)=$NL$8,0,1))*(OFFSET($A$9,0,31*($A$9-1)+1,1,31)))))</f>
        <v/>
      </c>
      <c r="NO31" s="77" t="str" cm="1">
        <f t="array" aca="1" ref="NO31" ca="1">IF(SUMPRODUCT((OFFSET($A31,0,1,1,372)&lt;&gt;"")*(IF(OFFSET($A31,0,1,1,372)=$NL$9,0.5,IF(OFFSET($A31,0,1,1,372)=$NL$8,0,1))*(OFFSET($A$9,0,1,1,372))))=0,"",SUMPRODUCT((OFFSET($A31,0,1,1,372)&lt;&gt;"")*(IF(OFFSET($A31,0,1,1,372)=$NL$9,0.5,IF(OFFSET($A31,0,1,1,372)=$NL$8,0,1))*(OFFSET($A$9,0,1,1,372)))))</f>
        <v/>
      </c>
      <c r="NP31" s="46"/>
      <c r="NQ31" s="75" t="str">
        <f t="array" aca="1" ref="NQ31" ca="1">IF(SUMPRODUCT((OFFSET($A31,0,1,1,372)&lt;&gt;"")*(OFFSET($A$9,0,1,1,372))*((OFFSET($A31,0,1,1,372))=NL$5))=0,"",SUMPRODUCT((OFFSET($A31,0,1,1,372)&lt;&gt;"")*(OFFSET($A$9,0,1,1,372))*((OFFSET($A31,0,1,1,372))=NL$5)))</f>
        <v/>
      </c>
      <c r="NR31" s="75" t="str">
        <f t="array" aca="1" ref="NR31" ca="1">IF(SUMPRODUCT((OFFSET($A31,0,1,1,372)&lt;&gt;"")*(OFFSET($A$9,0,1,1,372))*((OFFSET($A31,0,1,1,372))=NL$6))=0,"",SUMPRODUCT((OFFSET($A31,0,1,1,372)&lt;&gt;"")*(OFFSET($A$9,0,1,1,372))*((OFFSET($A31,0,1,1,372))=NL$6)))</f>
        <v/>
      </c>
      <c r="NS31" s="75" t="str">
        <f t="array" aca="1" ref="NS31" ca="1">IF(SUMPRODUCT((OFFSET($A31,0,1,1,372)&lt;&gt;"")*(OFFSET($A$9,0,1,1,372))*((OFFSET($A31,0,1,1,372))=NL$7))=0,"",SUMPRODUCT((OFFSET($A31,0,1,1,372)&lt;&gt;"")*(OFFSET($A$9,0,1,1,372))*((OFFSET($A31,0,1,1,372))=NL$7)))</f>
        <v/>
      </c>
      <c r="NT31" s="75" t="str" cm="1">
        <f t="array" aca="1" ref="NT31" ca="1">IF(SUMPRODUCT((OFFSET($A31,0,1,1,372)&lt;&gt;"")*(OFFSET($A$9,0,1,1,372))*((OFFSET($A31,0,1,1,372))=NL$9))=0,"",SUMPRODUCT((OFFSET($A31,0,1,1,372)&lt;&gt;"")*(OFFSET($A$9,0,1,1,372))*((OFFSET($A31,0,1,1,372))=NL$9)))</f>
        <v/>
      </c>
    </row>
    <row r="32" spans="1:396" ht="15.5" x14ac:dyDescent="0.35">
      <c r="A32" s="3" t="s">
        <v>63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 t="s">
        <v>68</v>
      </c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33"/>
      <c r="NK32" s="39"/>
      <c r="NL32" s="48"/>
      <c r="NN32" s="76" t="str" cm="1">
        <f t="array" aca="1" ref="NN32" ca="1">IF(SUMPRODUCT((OFFSET($A32,0,31*($A$9-1)+1,1,31)&lt;&gt;"")*(IF(OFFSET($A32,0,31*($A$9-1)+1,1,31)=$NL$9,0.5,IF(OFFSET($A32,0,31*($A$9-1)+1,1,31)=$NL$8,0,1))*(OFFSET($A$9,0,31*($A$9-1)+1,1,31))))=0,"",SUMPRODUCT((OFFSET($A32,0,31*($A$9-1)+1,1,31)&lt;&gt;"")*(IF(OFFSET($A32,0,31*($A$9-1)+1,1,31)=$NL$9,0.5,IF(OFFSET($A32,0,31*($A$9-1)+1,1,31)=$NL$8,0,1))*(OFFSET($A$9,0,31*($A$9-1)+1,1,31)))))</f>
        <v/>
      </c>
      <c r="NO32" s="77" t="str" cm="1">
        <f t="array" aca="1" ref="NO32" ca="1">IF(SUMPRODUCT((OFFSET($A32,0,1,1,372)&lt;&gt;"")*(IF(OFFSET($A32,0,1,1,372)=$NL$9,0.5,IF(OFFSET($A32,0,1,1,372)=$NL$8,0,1))*(OFFSET($A$9,0,1,1,372))))=0,"",SUMPRODUCT((OFFSET($A32,0,1,1,372)&lt;&gt;"")*(IF(OFFSET($A32,0,1,1,372)=$NL$9,0.5,IF(OFFSET($A32,0,1,1,372)=$NL$8,0,1))*(OFFSET($A$9,0,1,1,372)))))</f>
        <v/>
      </c>
      <c r="NP32" s="46"/>
      <c r="NQ32" s="75" t="str">
        <f t="array" aca="1" ref="NQ32" ca="1">IF(SUMPRODUCT((OFFSET($A32,0,1,1,372)&lt;&gt;"")*(OFFSET($A$9,0,1,1,372))*((OFFSET($A32,0,1,1,372))=NL$5))=0,"",SUMPRODUCT((OFFSET($A32,0,1,1,372)&lt;&gt;"")*(OFFSET($A$9,0,1,1,372))*((OFFSET($A32,0,1,1,372))=NL$5)))</f>
        <v/>
      </c>
      <c r="NR32" s="75" t="str">
        <f t="array" aca="1" ref="NR32" ca="1">IF(SUMPRODUCT((OFFSET($A32,0,1,1,372)&lt;&gt;"")*(OFFSET($A$9,0,1,1,372))*((OFFSET($A32,0,1,1,372))=NL$6))=0,"",SUMPRODUCT((OFFSET($A32,0,1,1,372)&lt;&gt;"")*(OFFSET($A$9,0,1,1,372))*((OFFSET($A32,0,1,1,372))=NL$6)))</f>
        <v/>
      </c>
      <c r="NS32" s="75" t="str">
        <f t="array" aca="1" ref="NS32" ca="1">IF(SUMPRODUCT((OFFSET($A32,0,1,1,372)&lt;&gt;"")*(OFFSET($A$9,0,1,1,372))*((OFFSET($A32,0,1,1,372))=NL$7))=0,"",SUMPRODUCT((OFFSET($A32,0,1,1,372)&lt;&gt;"")*(OFFSET($A$9,0,1,1,372))*((OFFSET($A32,0,1,1,372))=NL$7)))</f>
        <v/>
      </c>
      <c r="NT32" s="75" t="str" cm="1">
        <f t="array" aca="1" ref="NT32" ca="1">IF(SUMPRODUCT((OFFSET($A32,0,1,1,372)&lt;&gt;"")*(OFFSET($A$9,0,1,1,372))*((OFFSET($A32,0,1,1,372))=NL$9))=0,"",SUMPRODUCT((OFFSET($A32,0,1,1,372)&lt;&gt;"")*(OFFSET($A$9,0,1,1,372))*((OFFSET($A32,0,1,1,372))=NL$9)))</f>
        <v/>
      </c>
    </row>
    <row r="33" spans="1:384" ht="15.5" x14ac:dyDescent="0.35">
      <c r="A33" s="3" t="s">
        <v>64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 t="s">
        <v>68</v>
      </c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33"/>
      <c r="NK33" s="39"/>
      <c r="NL33" s="48"/>
      <c r="NN33" s="76" t="str" cm="1">
        <f t="array" aca="1" ref="NN33" ca="1">IF(SUMPRODUCT((OFFSET($A33,0,31*($A$9-1)+1,1,31)&lt;&gt;"")*(IF(OFFSET($A33,0,31*($A$9-1)+1,1,31)=$NL$9,0.5,IF(OFFSET($A33,0,31*($A$9-1)+1,1,31)=$NL$8,0,1))*(OFFSET($A$9,0,31*($A$9-1)+1,1,31))))=0,"",SUMPRODUCT((OFFSET($A33,0,31*($A$9-1)+1,1,31)&lt;&gt;"")*(IF(OFFSET($A33,0,31*($A$9-1)+1,1,31)=$NL$9,0.5,IF(OFFSET($A33,0,31*($A$9-1)+1,1,31)=$NL$8,0,1))*(OFFSET($A$9,0,31*($A$9-1)+1,1,31)))))</f>
        <v/>
      </c>
      <c r="NO33" s="77" t="str" cm="1">
        <f t="array" aca="1" ref="NO33" ca="1">IF(SUMPRODUCT((OFFSET($A33,0,1,1,372)&lt;&gt;"")*(IF(OFFSET($A33,0,1,1,372)=$NL$9,0.5,IF(OFFSET($A33,0,1,1,372)=$NL$8,0,1))*(OFFSET($A$9,0,1,1,372))))=0,"",SUMPRODUCT((OFFSET($A33,0,1,1,372)&lt;&gt;"")*(IF(OFFSET($A33,0,1,1,372)=$NL$9,0.5,IF(OFFSET($A33,0,1,1,372)=$NL$8,0,1))*(OFFSET($A$9,0,1,1,372)))))</f>
        <v/>
      </c>
      <c r="NP33" s="46"/>
      <c r="NQ33" s="75" t="str">
        <f t="array" aca="1" ref="NQ33" ca="1">IF(SUMPRODUCT((OFFSET($A33,0,1,1,372)&lt;&gt;"")*(OFFSET($A$9,0,1,1,372))*((OFFSET($A33,0,1,1,372))=NL$5))=0,"",SUMPRODUCT((OFFSET($A33,0,1,1,372)&lt;&gt;"")*(OFFSET($A$9,0,1,1,372))*((OFFSET($A33,0,1,1,372))=NL$5)))</f>
        <v/>
      </c>
      <c r="NR33" s="75" t="str">
        <f t="array" aca="1" ref="NR33" ca="1">IF(SUMPRODUCT((OFFSET($A33,0,1,1,372)&lt;&gt;"")*(OFFSET($A$9,0,1,1,372))*((OFFSET($A33,0,1,1,372))=NL$6))=0,"",SUMPRODUCT((OFFSET($A33,0,1,1,372)&lt;&gt;"")*(OFFSET($A$9,0,1,1,372))*((OFFSET($A33,0,1,1,372))=NL$6)))</f>
        <v/>
      </c>
      <c r="NS33" s="75" t="str">
        <f t="array" aca="1" ref="NS33" ca="1">IF(SUMPRODUCT((OFFSET($A33,0,1,1,372)&lt;&gt;"")*(OFFSET($A$9,0,1,1,372))*((OFFSET($A33,0,1,1,372))=NL$7))=0,"",SUMPRODUCT((OFFSET($A33,0,1,1,372)&lt;&gt;"")*(OFFSET($A$9,0,1,1,372))*((OFFSET($A33,0,1,1,372))=NL$7)))</f>
        <v/>
      </c>
      <c r="NT33" s="75" t="str" cm="1">
        <f t="array" aca="1" ref="NT33" ca="1">IF(SUMPRODUCT((OFFSET($A33,0,1,1,372)&lt;&gt;"")*(OFFSET($A$9,0,1,1,372))*((OFFSET($A33,0,1,1,372))=NL$9))=0,"",SUMPRODUCT((OFFSET($A33,0,1,1,372)&lt;&gt;"")*(OFFSET($A$9,0,1,1,372))*((OFFSET($A33,0,1,1,372))=NL$9)))</f>
        <v/>
      </c>
    </row>
    <row r="34" spans="1:384" ht="15.5" x14ac:dyDescent="0.35">
      <c r="A34" s="3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33"/>
      <c r="NK34" s="39"/>
      <c r="NL34" s="48"/>
      <c r="NN34" s="76" t="str" cm="1">
        <f t="array" aca="1" ref="NN34" ca="1">IF(SUMPRODUCT((OFFSET($A34,0,31*($A$9-1)+1,1,31)&lt;&gt;"")*(IF(OFFSET($A34,0,31*($A$9-1)+1,1,31)=$NL$9,0.5,IF(OFFSET($A34,0,31*($A$9-1)+1,1,31)=$NL$8,0,1))*(OFFSET($A$9,0,31*($A$9-1)+1,1,31))))=0,"",SUMPRODUCT((OFFSET($A34,0,31*($A$9-1)+1,1,31)&lt;&gt;"")*(IF(OFFSET($A34,0,31*($A$9-1)+1,1,31)=$NL$9,0.5,IF(OFFSET($A34,0,31*($A$9-1)+1,1,31)=$NL$8,0,1))*(OFFSET($A$9,0,31*($A$9-1)+1,1,31)))))</f>
        <v/>
      </c>
      <c r="NO34" s="77" t="str" cm="1">
        <f t="array" aca="1" ref="NO34" ca="1">IF(SUMPRODUCT((OFFSET($A34,0,1,1,372)&lt;&gt;"")*(IF(OFFSET($A34,0,1,1,372)=$NL$9,0.5,IF(OFFSET($A34,0,1,1,372)=$NL$8,0,1))*(OFFSET($A$9,0,1,1,372))))=0,"",SUMPRODUCT((OFFSET($A34,0,1,1,372)&lt;&gt;"")*(IF(OFFSET($A34,0,1,1,372)=$NL$9,0.5,IF(OFFSET($A34,0,1,1,372)=$NL$8,0,1))*(OFFSET($A$9,0,1,1,372)))))</f>
        <v/>
      </c>
      <c r="NP34" s="46"/>
      <c r="NQ34" s="75" t="str">
        <f t="array" aca="1" ref="NQ34" ca="1">IF(SUMPRODUCT((OFFSET($A34,0,1,1,372)&lt;&gt;"")*(OFFSET($A$9,0,1,1,372))*((OFFSET($A34,0,1,1,372))=NL$5))=0,"",SUMPRODUCT((OFFSET($A34,0,1,1,372)&lt;&gt;"")*(OFFSET($A$9,0,1,1,372))*((OFFSET($A34,0,1,1,372))=NL$5)))</f>
        <v/>
      </c>
      <c r="NR34" s="75" t="str">
        <f t="array" aca="1" ref="NR34" ca="1">IF(SUMPRODUCT((OFFSET($A34,0,1,1,372)&lt;&gt;"")*(OFFSET($A$9,0,1,1,372))*((OFFSET($A34,0,1,1,372))=NL$6))=0,"",SUMPRODUCT((OFFSET($A34,0,1,1,372)&lt;&gt;"")*(OFFSET($A$9,0,1,1,372))*((OFFSET($A34,0,1,1,372))=NL$6)))</f>
        <v/>
      </c>
      <c r="NS34" s="75" t="str">
        <f t="array" aca="1" ref="NS34" ca="1">IF(SUMPRODUCT((OFFSET($A34,0,1,1,372)&lt;&gt;"")*(OFFSET($A$9,0,1,1,372))*((OFFSET($A34,0,1,1,372))=NL$7))=0,"",SUMPRODUCT((OFFSET($A34,0,1,1,372)&lt;&gt;"")*(OFFSET($A$9,0,1,1,372))*((OFFSET($A34,0,1,1,372))=NL$7)))</f>
        <v/>
      </c>
      <c r="NT34" s="75" t="str" cm="1">
        <f t="array" aca="1" ref="NT34" ca="1">IF(SUMPRODUCT((OFFSET($A34,0,1,1,372)&lt;&gt;"")*(OFFSET($A$9,0,1,1,372))*((OFFSET($A34,0,1,1,372))=NL$9))=0,"",SUMPRODUCT((OFFSET($A34,0,1,1,372)&lt;&gt;"")*(OFFSET($A$9,0,1,1,372))*((OFFSET($A34,0,1,1,372))=NL$9)))</f>
        <v/>
      </c>
    </row>
    <row r="35" spans="1:384" ht="15.5" x14ac:dyDescent="0.35">
      <c r="A35" s="3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33"/>
      <c r="NK35" s="39"/>
      <c r="NL35" s="48"/>
      <c r="NN35" s="76" t="str" cm="1">
        <f t="array" aca="1" ref="NN35" ca="1">IF(SUMPRODUCT((OFFSET($A35,0,31*($A$9-1)+1,1,31)&lt;&gt;"")*(IF(OFFSET($A35,0,31*($A$9-1)+1,1,31)=$NL$9,0.5,IF(OFFSET($A35,0,31*($A$9-1)+1,1,31)=$NL$8,0,1))*(OFFSET($A$9,0,31*($A$9-1)+1,1,31))))=0,"",SUMPRODUCT((OFFSET($A35,0,31*($A$9-1)+1,1,31)&lt;&gt;"")*(IF(OFFSET($A35,0,31*($A$9-1)+1,1,31)=$NL$9,0.5,IF(OFFSET($A35,0,31*($A$9-1)+1,1,31)=$NL$8,0,1))*(OFFSET($A$9,0,31*($A$9-1)+1,1,31)))))</f>
        <v/>
      </c>
      <c r="NO35" s="77" t="str" cm="1">
        <f t="array" aca="1" ref="NO35" ca="1">IF(SUMPRODUCT((OFFSET($A35,0,1,1,372)&lt;&gt;"")*(IF(OFFSET($A35,0,1,1,372)=$NL$9,0.5,IF(OFFSET($A35,0,1,1,372)=$NL$8,0,1))*(OFFSET($A$9,0,1,1,372))))=0,"",SUMPRODUCT((OFFSET($A35,0,1,1,372)&lt;&gt;"")*(IF(OFFSET($A35,0,1,1,372)=$NL$9,0.5,IF(OFFSET($A35,0,1,1,372)=$NL$8,0,1))*(OFFSET($A$9,0,1,1,372)))))</f>
        <v/>
      </c>
      <c r="NP35" s="46"/>
      <c r="NQ35" s="75" t="str">
        <f t="array" aca="1" ref="NQ35" ca="1">IF(SUMPRODUCT((OFFSET($A35,0,1,1,372)&lt;&gt;"")*(OFFSET($A$9,0,1,1,372))*((OFFSET($A35,0,1,1,372))=NL$5))=0,"",SUMPRODUCT((OFFSET($A35,0,1,1,372)&lt;&gt;"")*(OFFSET($A$9,0,1,1,372))*((OFFSET($A35,0,1,1,372))=NL$5)))</f>
        <v/>
      </c>
      <c r="NR35" s="75" t="str">
        <f t="array" aca="1" ref="NR35" ca="1">IF(SUMPRODUCT((OFFSET($A35,0,1,1,372)&lt;&gt;"")*(OFFSET($A$9,0,1,1,372))*((OFFSET($A35,0,1,1,372))=NL$6))=0,"",SUMPRODUCT((OFFSET($A35,0,1,1,372)&lt;&gt;"")*(OFFSET($A$9,0,1,1,372))*((OFFSET($A35,0,1,1,372))=NL$6)))</f>
        <v/>
      </c>
      <c r="NS35" s="75" t="str">
        <f t="array" aca="1" ref="NS35" ca="1">IF(SUMPRODUCT((OFFSET($A35,0,1,1,372)&lt;&gt;"")*(OFFSET($A$9,0,1,1,372))*((OFFSET($A35,0,1,1,372))=NL$7))=0,"",SUMPRODUCT((OFFSET($A35,0,1,1,372)&lt;&gt;"")*(OFFSET($A$9,0,1,1,372))*((OFFSET($A35,0,1,1,372))=NL$7)))</f>
        <v/>
      </c>
      <c r="NT35" s="75" t="str" cm="1">
        <f t="array" aca="1" ref="NT35" ca="1">IF(SUMPRODUCT((OFFSET($A35,0,1,1,372)&lt;&gt;"")*(OFFSET($A$9,0,1,1,372))*((OFFSET($A35,0,1,1,372))=NL$9))=0,"",SUMPRODUCT((OFFSET($A35,0,1,1,372)&lt;&gt;"")*(OFFSET($A$9,0,1,1,372))*((OFFSET($A35,0,1,1,372))=NL$9)))</f>
        <v/>
      </c>
    </row>
    <row r="36" spans="1:384" ht="15.5" x14ac:dyDescent="0.35">
      <c r="A36" s="3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33"/>
      <c r="NK36" s="39"/>
      <c r="NL36" s="48"/>
      <c r="NN36" s="76" t="str" cm="1">
        <f t="array" aca="1" ref="NN36" ca="1">IF(SUMPRODUCT((OFFSET($A36,0,31*($A$9-1)+1,1,31)&lt;&gt;"")*(IF(OFFSET($A36,0,31*($A$9-1)+1,1,31)=$NL$9,0.5,IF(OFFSET($A36,0,31*($A$9-1)+1,1,31)=$NL$8,0,1))*(OFFSET($A$9,0,31*($A$9-1)+1,1,31))))=0,"",SUMPRODUCT((OFFSET($A36,0,31*($A$9-1)+1,1,31)&lt;&gt;"")*(IF(OFFSET($A36,0,31*($A$9-1)+1,1,31)=$NL$9,0.5,IF(OFFSET($A36,0,31*($A$9-1)+1,1,31)=$NL$8,0,1))*(OFFSET($A$9,0,31*($A$9-1)+1,1,31)))))</f>
        <v/>
      </c>
      <c r="NO36" s="77" t="str" cm="1">
        <f t="array" aca="1" ref="NO36" ca="1">IF(SUMPRODUCT((OFFSET($A36,0,1,1,372)&lt;&gt;"")*(IF(OFFSET($A36,0,1,1,372)=$NL$9,0.5,IF(OFFSET($A36,0,1,1,372)=$NL$8,0,1))*(OFFSET($A$9,0,1,1,372))))=0,"",SUMPRODUCT((OFFSET($A36,0,1,1,372)&lt;&gt;"")*(IF(OFFSET($A36,0,1,1,372)=$NL$9,0.5,IF(OFFSET($A36,0,1,1,372)=$NL$8,0,1))*(OFFSET($A$9,0,1,1,372)))))</f>
        <v/>
      </c>
      <c r="NP36" s="46"/>
      <c r="NQ36" s="75" t="str">
        <f t="array" aca="1" ref="NQ36" ca="1">IF(SUMPRODUCT((OFFSET($A36,0,1,1,372)&lt;&gt;"")*(OFFSET($A$9,0,1,1,372))*((OFFSET($A36,0,1,1,372))=NL$5))=0,"",SUMPRODUCT((OFFSET($A36,0,1,1,372)&lt;&gt;"")*(OFFSET($A$9,0,1,1,372))*((OFFSET($A36,0,1,1,372))=NL$5)))</f>
        <v/>
      </c>
      <c r="NR36" s="75" t="str">
        <f t="array" aca="1" ref="NR36" ca="1">IF(SUMPRODUCT((OFFSET($A36,0,1,1,372)&lt;&gt;"")*(OFFSET($A$9,0,1,1,372))*((OFFSET($A36,0,1,1,372))=NL$6))=0,"",SUMPRODUCT((OFFSET($A36,0,1,1,372)&lt;&gt;"")*(OFFSET($A$9,0,1,1,372))*((OFFSET($A36,0,1,1,372))=NL$6)))</f>
        <v/>
      </c>
      <c r="NS36" s="75" t="str">
        <f t="array" aca="1" ref="NS36" ca="1">IF(SUMPRODUCT((OFFSET($A36,0,1,1,372)&lt;&gt;"")*(OFFSET($A$9,0,1,1,372))*((OFFSET($A36,0,1,1,372))=NL$7))=0,"",SUMPRODUCT((OFFSET($A36,0,1,1,372)&lt;&gt;"")*(OFFSET($A$9,0,1,1,372))*((OFFSET($A36,0,1,1,372))=NL$7)))</f>
        <v/>
      </c>
      <c r="NT36" s="75" t="str" cm="1">
        <f t="array" aca="1" ref="NT36" ca="1">IF(SUMPRODUCT((OFFSET($A36,0,1,1,372)&lt;&gt;"")*(OFFSET($A$9,0,1,1,372))*((OFFSET($A36,0,1,1,372))=NL$9))=0,"",SUMPRODUCT((OFFSET($A36,0,1,1,372)&lt;&gt;"")*(OFFSET($A$9,0,1,1,372))*((OFFSET($A36,0,1,1,372))=NL$9)))</f>
        <v/>
      </c>
    </row>
    <row r="37" spans="1:384" ht="15.5" x14ac:dyDescent="0.35">
      <c r="A37" s="3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  <c r="KI37" s="14"/>
      <c r="KJ37" s="14"/>
      <c r="KK37" s="14"/>
      <c r="KL37" s="14"/>
      <c r="KM37" s="14"/>
      <c r="KN37" s="14"/>
      <c r="KO37" s="14"/>
      <c r="KP37" s="14"/>
      <c r="KQ37" s="14"/>
      <c r="KR37" s="14"/>
      <c r="KS37" s="14"/>
      <c r="KT37" s="14"/>
      <c r="KU37" s="14"/>
      <c r="KV37" s="14"/>
      <c r="KW37" s="14"/>
      <c r="KX37" s="14"/>
      <c r="KY37" s="14"/>
      <c r="KZ37" s="14"/>
      <c r="LA37" s="14"/>
      <c r="LB37" s="14"/>
      <c r="LC37" s="14"/>
      <c r="LD37" s="14"/>
      <c r="LE37" s="14"/>
      <c r="LF37" s="14"/>
      <c r="LG37" s="14"/>
      <c r="LH37" s="14"/>
      <c r="LI37" s="14"/>
      <c r="LJ37" s="14"/>
      <c r="LK37" s="14"/>
      <c r="LL37" s="14"/>
      <c r="LM37" s="14"/>
      <c r="LN37" s="14"/>
      <c r="LO37" s="14"/>
      <c r="LP37" s="14"/>
      <c r="LQ37" s="14"/>
      <c r="LR37" s="14"/>
      <c r="LS37" s="14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33"/>
      <c r="NK37" s="39"/>
      <c r="NL37" s="48"/>
      <c r="NN37" s="76" t="str" cm="1">
        <f t="array" aca="1" ref="NN37" ca="1">IF(SUMPRODUCT((OFFSET($A37,0,31*($A$9-1)+1,1,31)&lt;&gt;"")*(IF(OFFSET($A37,0,31*($A$9-1)+1,1,31)=$NL$9,0.5,IF(OFFSET($A37,0,31*($A$9-1)+1,1,31)=$NL$8,0,1))*(OFFSET($A$9,0,31*($A$9-1)+1,1,31))))=0,"",SUMPRODUCT((OFFSET($A37,0,31*($A$9-1)+1,1,31)&lt;&gt;"")*(IF(OFFSET($A37,0,31*($A$9-1)+1,1,31)=$NL$9,0.5,IF(OFFSET($A37,0,31*($A$9-1)+1,1,31)=$NL$8,0,1))*(OFFSET($A$9,0,31*($A$9-1)+1,1,31)))))</f>
        <v/>
      </c>
      <c r="NO37" s="77" t="str" cm="1">
        <f t="array" aca="1" ref="NO37" ca="1">IF(SUMPRODUCT((OFFSET($A37,0,1,1,372)&lt;&gt;"")*(IF(OFFSET($A37,0,1,1,372)=$NL$9,0.5,IF(OFFSET($A37,0,1,1,372)=$NL$8,0,1))*(OFFSET($A$9,0,1,1,372))))=0,"",SUMPRODUCT((OFFSET($A37,0,1,1,372)&lt;&gt;"")*(IF(OFFSET($A37,0,1,1,372)=$NL$9,0.5,IF(OFFSET($A37,0,1,1,372)=$NL$8,0,1))*(OFFSET($A$9,0,1,1,372)))))</f>
        <v/>
      </c>
      <c r="NP37" s="46"/>
      <c r="NQ37" s="75" t="str">
        <f t="array" aca="1" ref="NQ37" ca="1">IF(SUMPRODUCT((OFFSET($A37,0,1,1,372)&lt;&gt;"")*(OFFSET($A$9,0,1,1,372))*((OFFSET($A37,0,1,1,372))=NL$5))=0,"",SUMPRODUCT((OFFSET($A37,0,1,1,372)&lt;&gt;"")*(OFFSET($A$9,0,1,1,372))*((OFFSET($A37,0,1,1,372))=NL$5)))</f>
        <v/>
      </c>
      <c r="NR37" s="75" t="str">
        <f t="array" aca="1" ref="NR37" ca="1">IF(SUMPRODUCT((OFFSET($A37,0,1,1,372)&lt;&gt;"")*(OFFSET($A$9,0,1,1,372))*((OFFSET($A37,0,1,1,372))=NL$6))=0,"",SUMPRODUCT((OFFSET($A37,0,1,1,372)&lt;&gt;"")*(OFFSET($A$9,0,1,1,372))*((OFFSET($A37,0,1,1,372))=NL$6)))</f>
        <v/>
      </c>
      <c r="NS37" s="75" t="str">
        <f t="array" aca="1" ref="NS37" ca="1">IF(SUMPRODUCT((OFFSET($A37,0,1,1,372)&lt;&gt;"")*(OFFSET($A$9,0,1,1,372))*((OFFSET($A37,0,1,1,372))=NL$7))=0,"",SUMPRODUCT((OFFSET($A37,0,1,1,372)&lt;&gt;"")*(OFFSET($A$9,0,1,1,372))*((OFFSET($A37,0,1,1,372))=NL$7)))</f>
        <v/>
      </c>
      <c r="NT37" s="75" t="str" cm="1">
        <f t="array" aca="1" ref="NT37" ca="1">IF(SUMPRODUCT((OFFSET($A37,0,1,1,372)&lt;&gt;"")*(OFFSET($A$9,0,1,1,372))*((OFFSET($A37,0,1,1,372))=NL$9))=0,"",SUMPRODUCT((OFFSET($A37,0,1,1,372)&lt;&gt;"")*(OFFSET($A$9,0,1,1,372))*((OFFSET($A37,0,1,1,372))=NL$9)))</f>
        <v/>
      </c>
    </row>
    <row r="38" spans="1:384" ht="15.5" x14ac:dyDescent="0.35">
      <c r="A38" s="3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  <c r="KI38" s="14"/>
      <c r="KJ38" s="14"/>
      <c r="KK38" s="14"/>
      <c r="KL38" s="14"/>
      <c r="KM38" s="14"/>
      <c r="KN38" s="14"/>
      <c r="KO38" s="14"/>
      <c r="KP38" s="14"/>
      <c r="KQ38" s="14"/>
      <c r="KR38" s="14"/>
      <c r="KS38" s="14"/>
      <c r="KT38" s="14"/>
      <c r="KU38" s="14"/>
      <c r="KV38" s="14"/>
      <c r="KW38" s="14"/>
      <c r="KX38" s="14"/>
      <c r="KY38" s="14"/>
      <c r="KZ38" s="14"/>
      <c r="LA38" s="14"/>
      <c r="LB38" s="14"/>
      <c r="LC38" s="14"/>
      <c r="LD38" s="14"/>
      <c r="LE38" s="14"/>
      <c r="LF38" s="14"/>
      <c r="LG38" s="14"/>
      <c r="LH38" s="14"/>
      <c r="LI38" s="14"/>
      <c r="LJ38" s="14"/>
      <c r="LK38" s="14"/>
      <c r="LL38" s="14"/>
      <c r="LM38" s="14"/>
      <c r="LN38" s="14"/>
      <c r="LO38" s="14"/>
      <c r="LP38" s="14"/>
      <c r="LQ38" s="14"/>
      <c r="LR38" s="14"/>
      <c r="LS38" s="14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33"/>
      <c r="NK38" s="39"/>
      <c r="NL38" s="48"/>
      <c r="NN38" s="76" t="str" cm="1">
        <f t="array" aca="1" ref="NN38" ca="1">IF(SUMPRODUCT((OFFSET($A38,0,31*($A$9-1)+1,1,31)&lt;&gt;"")*(IF(OFFSET($A38,0,31*($A$9-1)+1,1,31)=$NL$9,0.5,IF(OFFSET($A38,0,31*($A$9-1)+1,1,31)=$NL$8,0,1))*(OFFSET($A$9,0,31*($A$9-1)+1,1,31))))=0,"",SUMPRODUCT((OFFSET($A38,0,31*($A$9-1)+1,1,31)&lt;&gt;"")*(IF(OFFSET($A38,0,31*($A$9-1)+1,1,31)=$NL$9,0.5,IF(OFFSET($A38,0,31*($A$9-1)+1,1,31)=$NL$8,0,1))*(OFFSET($A$9,0,31*($A$9-1)+1,1,31)))))</f>
        <v/>
      </c>
      <c r="NO38" s="77" t="str" cm="1">
        <f t="array" aca="1" ref="NO38" ca="1">IF(SUMPRODUCT((OFFSET($A38,0,1,1,372)&lt;&gt;"")*(IF(OFFSET($A38,0,1,1,372)=$NL$9,0.5,IF(OFFSET($A38,0,1,1,372)=$NL$8,0,1))*(OFFSET($A$9,0,1,1,372))))=0,"",SUMPRODUCT((OFFSET($A38,0,1,1,372)&lt;&gt;"")*(IF(OFFSET($A38,0,1,1,372)=$NL$9,0.5,IF(OFFSET($A38,0,1,1,372)=$NL$8,0,1))*(OFFSET($A$9,0,1,1,372)))))</f>
        <v/>
      </c>
      <c r="NP38" s="46"/>
      <c r="NQ38" s="75" t="str">
        <f t="array" aca="1" ref="NQ38" ca="1">IF(SUMPRODUCT((OFFSET($A38,0,1,1,372)&lt;&gt;"")*(OFFSET($A$9,0,1,1,372))*((OFFSET($A38,0,1,1,372))=NL$5))=0,"",SUMPRODUCT((OFFSET($A38,0,1,1,372)&lt;&gt;"")*(OFFSET($A$9,0,1,1,372))*((OFFSET($A38,0,1,1,372))=NL$5)))</f>
        <v/>
      </c>
      <c r="NR38" s="75" t="str">
        <f t="array" aca="1" ref="NR38" ca="1">IF(SUMPRODUCT((OFFSET($A38,0,1,1,372)&lt;&gt;"")*(OFFSET($A$9,0,1,1,372))*((OFFSET($A38,0,1,1,372))=NL$6))=0,"",SUMPRODUCT((OFFSET($A38,0,1,1,372)&lt;&gt;"")*(OFFSET($A$9,0,1,1,372))*((OFFSET($A38,0,1,1,372))=NL$6)))</f>
        <v/>
      </c>
      <c r="NS38" s="75" t="str">
        <f t="array" aca="1" ref="NS38" ca="1">IF(SUMPRODUCT((OFFSET($A38,0,1,1,372)&lt;&gt;"")*(OFFSET($A$9,0,1,1,372))*((OFFSET($A38,0,1,1,372))=NL$7))=0,"",SUMPRODUCT((OFFSET($A38,0,1,1,372)&lt;&gt;"")*(OFFSET($A$9,0,1,1,372))*((OFFSET($A38,0,1,1,372))=NL$7)))</f>
        <v/>
      </c>
      <c r="NT38" s="75" t="str" cm="1">
        <f t="array" aca="1" ref="NT38" ca="1">IF(SUMPRODUCT((OFFSET($A38,0,1,1,372)&lt;&gt;"")*(OFFSET($A$9,0,1,1,372))*((OFFSET($A38,0,1,1,372))=NL$9))=0,"",SUMPRODUCT((OFFSET($A38,0,1,1,372)&lt;&gt;"")*(OFFSET($A$9,0,1,1,372))*((OFFSET($A38,0,1,1,372))=NL$9)))</f>
        <v/>
      </c>
    </row>
    <row r="39" spans="1:384" ht="15.5" x14ac:dyDescent="0.35">
      <c r="A39" s="3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  <c r="KI39" s="14"/>
      <c r="KJ39" s="14"/>
      <c r="KK39" s="14"/>
      <c r="KL39" s="14"/>
      <c r="KM39" s="14"/>
      <c r="KN39" s="14"/>
      <c r="KO39" s="14"/>
      <c r="KP39" s="14"/>
      <c r="KQ39" s="14"/>
      <c r="KR39" s="14"/>
      <c r="KS39" s="14"/>
      <c r="KT39" s="14"/>
      <c r="KU39" s="14"/>
      <c r="KV39" s="14"/>
      <c r="KW39" s="14"/>
      <c r="KX39" s="14"/>
      <c r="KY39" s="14"/>
      <c r="KZ39" s="14"/>
      <c r="LA39" s="14"/>
      <c r="LB39" s="14"/>
      <c r="LC39" s="14"/>
      <c r="LD39" s="14"/>
      <c r="LE39" s="14"/>
      <c r="LF39" s="14"/>
      <c r="LG39" s="14"/>
      <c r="LH39" s="14"/>
      <c r="LI39" s="14"/>
      <c r="LJ39" s="14"/>
      <c r="LK39" s="14"/>
      <c r="LL39" s="14"/>
      <c r="LM39" s="14"/>
      <c r="LN39" s="14"/>
      <c r="LO39" s="14"/>
      <c r="LP39" s="14"/>
      <c r="LQ39" s="14"/>
      <c r="LR39" s="14"/>
      <c r="LS39" s="14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33"/>
      <c r="NK39" s="39"/>
      <c r="NL39" s="48"/>
      <c r="NN39" s="76" t="str" cm="1">
        <f t="array" aca="1" ref="NN39" ca="1">IF(SUMPRODUCT((OFFSET($A39,0,31*($A$9-1)+1,1,31)&lt;&gt;"")*(IF(OFFSET($A39,0,31*($A$9-1)+1,1,31)=$NL$9,0.5,IF(OFFSET($A39,0,31*($A$9-1)+1,1,31)=$NL$8,0,1))*(OFFSET($A$9,0,31*($A$9-1)+1,1,31))))=0,"",SUMPRODUCT((OFFSET($A39,0,31*($A$9-1)+1,1,31)&lt;&gt;"")*(IF(OFFSET($A39,0,31*($A$9-1)+1,1,31)=$NL$9,0.5,IF(OFFSET($A39,0,31*($A$9-1)+1,1,31)=$NL$8,0,1))*(OFFSET($A$9,0,31*($A$9-1)+1,1,31)))))</f>
        <v/>
      </c>
      <c r="NO39" s="77" t="str" cm="1">
        <f t="array" aca="1" ref="NO39" ca="1">IF(SUMPRODUCT((OFFSET($A39,0,1,1,372)&lt;&gt;"")*(IF(OFFSET($A39,0,1,1,372)=$NL$9,0.5,IF(OFFSET($A39,0,1,1,372)=$NL$8,0,1))*(OFFSET($A$9,0,1,1,372))))=0,"",SUMPRODUCT((OFFSET($A39,0,1,1,372)&lt;&gt;"")*(IF(OFFSET($A39,0,1,1,372)=$NL$9,0.5,IF(OFFSET($A39,0,1,1,372)=$NL$8,0,1))*(OFFSET($A$9,0,1,1,372)))))</f>
        <v/>
      </c>
      <c r="NP39" s="46"/>
      <c r="NQ39" s="75" t="str">
        <f t="array" aca="1" ref="NQ39" ca="1">IF(SUMPRODUCT((OFFSET($A39,0,1,1,372)&lt;&gt;"")*(OFFSET($A$9,0,1,1,372))*((OFFSET($A39,0,1,1,372))=NL$5))=0,"",SUMPRODUCT((OFFSET($A39,0,1,1,372)&lt;&gt;"")*(OFFSET($A$9,0,1,1,372))*((OFFSET($A39,0,1,1,372))=NL$5)))</f>
        <v/>
      </c>
      <c r="NR39" s="75" t="str">
        <f t="array" aca="1" ref="NR39" ca="1">IF(SUMPRODUCT((OFFSET($A39,0,1,1,372)&lt;&gt;"")*(OFFSET($A$9,0,1,1,372))*((OFFSET($A39,0,1,1,372))=NL$6))=0,"",SUMPRODUCT((OFFSET($A39,0,1,1,372)&lt;&gt;"")*(OFFSET($A$9,0,1,1,372))*((OFFSET($A39,0,1,1,372))=NL$6)))</f>
        <v/>
      </c>
      <c r="NS39" s="75" t="str">
        <f t="array" aca="1" ref="NS39" ca="1">IF(SUMPRODUCT((OFFSET($A39,0,1,1,372)&lt;&gt;"")*(OFFSET($A$9,0,1,1,372))*((OFFSET($A39,0,1,1,372))=NL$7))=0,"",SUMPRODUCT((OFFSET($A39,0,1,1,372)&lt;&gt;"")*(OFFSET($A$9,0,1,1,372))*((OFFSET($A39,0,1,1,372))=NL$7)))</f>
        <v/>
      </c>
      <c r="NT39" s="75" t="str" cm="1">
        <f t="array" aca="1" ref="NT39" ca="1">IF(SUMPRODUCT((OFFSET($A39,0,1,1,372)&lt;&gt;"")*(OFFSET($A$9,0,1,1,372))*((OFFSET($A39,0,1,1,372))=NL$9))=0,"",SUMPRODUCT((OFFSET($A39,0,1,1,372)&lt;&gt;"")*(OFFSET($A$9,0,1,1,372))*((OFFSET($A39,0,1,1,372))=NL$9)))</f>
        <v/>
      </c>
    </row>
    <row r="40" spans="1:384" ht="15.5" x14ac:dyDescent="0.35">
      <c r="A40" s="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  <c r="KI40" s="14"/>
      <c r="KJ40" s="14"/>
      <c r="KK40" s="14"/>
      <c r="KL40" s="14"/>
      <c r="KM40" s="14"/>
      <c r="KN40" s="14"/>
      <c r="KO40" s="14"/>
      <c r="KP40" s="14"/>
      <c r="KQ40" s="14"/>
      <c r="KR40" s="14"/>
      <c r="KS40" s="14"/>
      <c r="KT40" s="14"/>
      <c r="KU40" s="14"/>
      <c r="KV40" s="14"/>
      <c r="KW40" s="14"/>
      <c r="KX40" s="14"/>
      <c r="KY40" s="14"/>
      <c r="KZ40" s="14"/>
      <c r="LA40" s="14"/>
      <c r="LB40" s="14"/>
      <c r="LC40" s="14"/>
      <c r="LD40" s="14"/>
      <c r="LE40" s="14"/>
      <c r="LF40" s="14"/>
      <c r="LG40" s="14"/>
      <c r="LH40" s="14"/>
      <c r="LI40" s="14"/>
      <c r="LJ40" s="14"/>
      <c r="LK40" s="14"/>
      <c r="LL40" s="14"/>
      <c r="LM40" s="14"/>
      <c r="LN40" s="14"/>
      <c r="LO40" s="14"/>
      <c r="LP40" s="14"/>
      <c r="LQ40" s="14"/>
      <c r="LR40" s="14"/>
      <c r="LS40" s="14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33"/>
      <c r="NK40" s="39"/>
      <c r="NL40" s="48"/>
      <c r="NN40" s="76" t="str" cm="1">
        <f t="array" aca="1" ref="NN40" ca="1">IF(SUMPRODUCT((OFFSET($A40,0,31*($A$9-1)+1,1,31)&lt;&gt;"")*(IF(OFFSET($A40,0,31*($A$9-1)+1,1,31)=$NL$9,0.5,IF(OFFSET($A40,0,31*($A$9-1)+1,1,31)=$NL$8,0,1))*(OFFSET($A$9,0,31*($A$9-1)+1,1,31))))=0,"",SUMPRODUCT((OFFSET($A40,0,31*($A$9-1)+1,1,31)&lt;&gt;"")*(IF(OFFSET($A40,0,31*($A$9-1)+1,1,31)=$NL$9,0.5,IF(OFFSET($A40,0,31*($A$9-1)+1,1,31)=$NL$8,0,1))*(OFFSET($A$9,0,31*($A$9-1)+1,1,31)))))</f>
        <v/>
      </c>
      <c r="NO40" s="77" t="str" cm="1">
        <f t="array" aca="1" ref="NO40" ca="1">IF(SUMPRODUCT((OFFSET($A40,0,1,1,372)&lt;&gt;"")*(IF(OFFSET($A40,0,1,1,372)=$NL$9,0.5,IF(OFFSET($A40,0,1,1,372)=$NL$8,0,1))*(OFFSET($A$9,0,1,1,372))))=0,"",SUMPRODUCT((OFFSET($A40,0,1,1,372)&lt;&gt;"")*(IF(OFFSET($A40,0,1,1,372)=$NL$9,0.5,IF(OFFSET($A40,0,1,1,372)=$NL$8,0,1))*(OFFSET($A$9,0,1,1,372)))))</f>
        <v/>
      </c>
      <c r="NP40" s="46"/>
      <c r="NQ40" s="75" t="str">
        <f t="array" aca="1" ref="NQ40" ca="1">IF(SUMPRODUCT((OFFSET($A40,0,1,1,372)&lt;&gt;"")*(OFFSET($A$9,0,1,1,372))*((OFFSET($A40,0,1,1,372))=NL$5))=0,"",SUMPRODUCT((OFFSET($A40,0,1,1,372)&lt;&gt;"")*(OFFSET($A$9,0,1,1,372))*((OFFSET($A40,0,1,1,372))=NL$5)))</f>
        <v/>
      </c>
      <c r="NR40" s="75" t="str">
        <f t="array" aca="1" ref="NR40" ca="1">IF(SUMPRODUCT((OFFSET($A40,0,1,1,372)&lt;&gt;"")*(OFFSET($A$9,0,1,1,372))*((OFFSET($A40,0,1,1,372))=NL$6))=0,"",SUMPRODUCT((OFFSET($A40,0,1,1,372)&lt;&gt;"")*(OFFSET($A$9,0,1,1,372))*((OFFSET($A40,0,1,1,372))=NL$6)))</f>
        <v/>
      </c>
      <c r="NS40" s="75" t="str">
        <f t="array" aca="1" ref="NS40" ca="1">IF(SUMPRODUCT((OFFSET($A40,0,1,1,372)&lt;&gt;"")*(OFFSET($A$9,0,1,1,372))*((OFFSET($A40,0,1,1,372))=NL$7))=0,"",SUMPRODUCT((OFFSET($A40,0,1,1,372)&lt;&gt;"")*(OFFSET($A$9,0,1,1,372))*((OFFSET($A40,0,1,1,372))=NL$7)))</f>
        <v/>
      </c>
      <c r="NT40" s="75" t="str" cm="1">
        <f t="array" aca="1" ref="NT40" ca="1">IF(SUMPRODUCT((OFFSET($A40,0,1,1,372)&lt;&gt;"")*(OFFSET($A$9,0,1,1,372))*((OFFSET($A40,0,1,1,372))=NL$9))=0,"",SUMPRODUCT((OFFSET($A40,0,1,1,372)&lt;&gt;"")*(OFFSET($A$9,0,1,1,372))*((OFFSET($A40,0,1,1,372))=NL$9)))</f>
        <v/>
      </c>
    </row>
    <row r="41" spans="1:384" ht="15.5" x14ac:dyDescent="0.35">
      <c r="A41" s="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  <c r="KI41" s="14"/>
      <c r="KJ41" s="14"/>
      <c r="KK41" s="14"/>
      <c r="KL41" s="14"/>
      <c r="KM41" s="14"/>
      <c r="KN41" s="14"/>
      <c r="KO41" s="14"/>
      <c r="KP41" s="14"/>
      <c r="KQ41" s="14"/>
      <c r="KR41" s="14"/>
      <c r="KS41" s="14"/>
      <c r="KT41" s="14"/>
      <c r="KU41" s="14"/>
      <c r="KV41" s="14"/>
      <c r="KW41" s="14"/>
      <c r="KX41" s="14"/>
      <c r="KY41" s="14"/>
      <c r="KZ41" s="14"/>
      <c r="LA41" s="14"/>
      <c r="LB41" s="14"/>
      <c r="LC41" s="14"/>
      <c r="LD41" s="14"/>
      <c r="LE41" s="14"/>
      <c r="LF41" s="14"/>
      <c r="LG41" s="14"/>
      <c r="LH41" s="14"/>
      <c r="LI41" s="14"/>
      <c r="LJ41" s="14"/>
      <c r="LK41" s="14"/>
      <c r="LL41" s="14"/>
      <c r="LM41" s="14"/>
      <c r="LN41" s="14"/>
      <c r="LO41" s="14"/>
      <c r="LP41" s="14"/>
      <c r="LQ41" s="14"/>
      <c r="LR41" s="14"/>
      <c r="LS41" s="14"/>
      <c r="LT41" s="14"/>
      <c r="LU41" s="14"/>
      <c r="LV41" s="14"/>
      <c r="LW41" s="14"/>
      <c r="LX41" s="14"/>
      <c r="LY41" s="14"/>
      <c r="LZ41" s="14"/>
      <c r="MA41" s="14"/>
      <c r="MB41" s="14"/>
      <c r="MC41" s="14"/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/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/>
      <c r="NB41" s="14"/>
      <c r="NC41" s="14"/>
      <c r="ND41" s="14"/>
      <c r="NE41" s="14"/>
      <c r="NF41" s="14"/>
      <c r="NG41" s="14"/>
      <c r="NH41" s="14"/>
      <c r="NI41" s="33"/>
      <c r="NK41" s="39"/>
      <c r="NL41" s="48"/>
      <c r="NN41" s="76" t="str" cm="1">
        <f t="array" aca="1" ref="NN41" ca="1">IF(SUMPRODUCT((OFFSET($A41,0,31*($A$9-1)+1,1,31)&lt;&gt;"")*(IF(OFFSET($A41,0,31*($A$9-1)+1,1,31)=$NL$9,0.5,IF(OFFSET($A41,0,31*($A$9-1)+1,1,31)=$NL$8,0,1))*(OFFSET($A$9,0,31*($A$9-1)+1,1,31))))=0,"",SUMPRODUCT((OFFSET($A41,0,31*($A$9-1)+1,1,31)&lt;&gt;"")*(IF(OFFSET($A41,0,31*($A$9-1)+1,1,31)=$NL$9,0.5,IF(OFFSET($A41,0,31*($A$9-1)+1,1,31)=$NL$8,0,1))*(OFFSET($A$9,0,31*($A$9-1)+1,1,31)))))</f>
        <v/>
      </c>
      <c r="NO41" s="77" t="str" cm="1">
        <f t="array" aca="1" ref="NO41" ca="1">IF(SUMPRODUCT((OFFSET($A41,0,1,1,372)&lt;&gt;"")*(IF(OFFSET($A41,0,1,1,372)=$NL$9,0.5,IF(OFFSET($A41,0,1,1,372)=$NL$8,0,1))*(OFFSET($A$9,0,1,1,372))))=0,"",SUMPRODUCT((OFFSET($A41,0,1,1,372)&lt;&gt;"")*(IF(OFFSET($A41,0,1,1,372)=$NL$9,0.5,IF(OFFSET($A41,0,1,1,372)=$NL$8,0,1))*(OFFSET($A$9,0,1,1,372)))))</f>
        <v/>
      </c>
      <c r="NP41" s="46"/>
      <c r="NQ41" s="75" t="str">
        <f t="array" aca="1" ref="NQ41" ca="1">IF(SUMPRODUCT((OFFSET($A41,0,1,1,372)&lt;&gt;"")*(OFFSET($A$9,0,1,1,372))*((OFFSET($A41,0,1,1,372))=NL$5))=0,"",SUMPRODUCT((OFFSET($A41,0,1,1,372)&lt;&gt;"")*(OFFSET($A$9,0,1,1,372))*((OFFSET($A41,0,1,1,372))=NL$5)))</f>
        <v/>
      </c>
      <c r="NR41" s="75" t="str">
        <f t="array" aca="1" ref="NR41" ca="1">IF(SUMPRODUCT((OFFSET($A41,0,1,1,372)&lt;&gt;"")*(OFFSET($A$9,0,1,1,372))*((OFFSET($A41,0,1,1,372))=NL$6))=0,"",SUMPRODUCT((OFFSET($A41,0,1,1,372)&lt;&gt;"")*(OFFSET($A$9,0,1,1,372))*((OFFSET($A41,0,1,1,372))=NL$6)))</f>
        <v/>
      </c>
      <c r="NS41" s="75" t="str">
        <f t="array" aca="1" ref="NS41" ca="1">IF(SUMPRODUCT((OFFSET($A41,0,1,1,372)&lt;&gt;"")*(OFFSET($A$9,0,1,1,372))*((OFFSET($A41,0,1,1,372))=NL$7))=0,"",SUMPRODUCT((OFFSET($A41,0,1,1,372)&lt;&gt;"")*(OFFSET($A$9,0,1,1,372))*((OFFSET($A41,0,1,1,372))=NL$7)))</f>
        <v/>
      </c>
      <c r="NT41" s="75" t="str" cm="1">
        <f t="array" aca="1" ref="NT41" ca="1">IF(SUMPRODUCT((OFFSET($A41,0,1,1,372)&lt;&gt;"")*(OFFSET($A$9,0,1,1,372))*((OFFSET($A41,0,1,1,372))=NL$9))=0,"",SUMPRODUCT((OFFSET($A41,0,1,1,372)&lt;&gt;"")*(OFFSET($A$9,0,1,1,372))*((OFFSET($A41,0,1,1,372))=NL$9)))</f>
        <v/>
      </c>
    </row>
    <row r="42" spans="1:384" ht="15.5" x14ac:dyDescent="0.35">
      <c r="A42" s="3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  <c r="KI42" s="14"/>
      <c r="KJ42" s="14"/>
      <c r="KK42" s="14"/>
      <c r="KL42" s="14"/>
      <c r="KM42" s="14"/>
      <c r="KN42" s="14"/>
      <c r="KO42" s="14"/>
      <c r="KP42" s="14"/>
      <c r="KQ42" s="14"/>
      <c r="KR42" s="14"/>
      <c r="KS42" s="14"/>
      <c r="KT42" s="14"/>
      <c r="KU42" s="14"/>
      <c r="KV42" s="14"/>
      <c r="KW42" s="14"/>
      <c r="KX42" s="14"/>
      <c r="KY42" s="14"/>
      <c r="KZ42" s="14"/>
      <c r="LA42" s="14"/>
      <c r="LB42" s="14"/>
      <c r="LC42" s="14"/>
      <c r="LD42" s="14"/>
      <c r="LE42" s="14"/>
      <c r="LF42" s="14"/>
      <c r="LG42" s="14"/>
      <c r="LH42" s="14"/>
      <c r="LI42" s="14"/>
      <c r="LJ42" s="14"/>
      <c r="LK42" s="14"/>
      <c r="LL42" s="14"/>
      <c r="LM42" s="14"/>
      <c r="LN42" s="14"/>
      <c r="LO42" s="14"/>
      <c r="LP42" s="14"/>
      <c r="LQ42" s="14"/>
      <c r="LR42" s="14"/>
      <c r="LS42" s="14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33"/>
      <c r="NK42" s="39"/>
      <c r="NL42" s="48"/>
      <c r="NN42" s="76" t="str" cm="1">
        <f t="array" aca="1" ref="NN42" ca="1">IF(SUMPRODUCT((OFFSET($A42,0,31*($A$9-1)+1,1,31)&lt;&gt;"")*(IF(OFFSET($A42,0,31*($A$9-1)+1,1,31)=$NL$9,0.5,IF(OFFSET($A42,0,31*($A$9-1)+1,1,31)=$NL$8,0,1))*(OFFSET($A$9,0,31*($A$9-1)+1,1,31))))=0,"",SUMPRODUCT((OFFSET($A42,0,31*($A$9-1)+1,1,31)&lt;&gt;"")*(IF(OFFSET($A42,0,31*($A$9-1)+1,1,31)=$NL$9,0.5,IF(OFFSET($A42,0,31*($A$9-1)+1,1,31)=$NL$8,0,1))*(OFFSET($A$9,0,31*($A$9-1)+1,1,31)))))</f>
        <v/>
      </c>
      <c r="NO42" s="77" t="str" cm="1">
        <f t="array" aca="1" ref="NO42" ca="1">IF(SUMPRODUCT((OFFSET($A42,0,1,1,372)&lt;&gt;"")*(IF(OFFSET($A42,0,1,1,372)=$NL$9,0.5,IF(OFFSET($A42,0,1,1,372)=$NL$8,0,1))*(OFFSET($A$9,0,1,1,372))))=0,"",SUMPRODUCT((OFFSET($A42,0,1,1,372)&lt;&gt;"")*(IF(OFFSET($A42,0,1,1,372)=$NL$9,0.5,IF(OFFSET($A42,0,1,1,372)=$NL$8,0,1))*(OFFSET($A$9,0,1,1,372)))))</f>
        <v/>
      </c>
      <c r="NP42" s="46"/>
      <c r="NQ42" s="75" t="str">
        <f t="array" aca="1" ref="NQ42" ca="1">IF(SUMPRODUCT((OFFSET($A42,0,1,1,372)&lt;&gt;"")*(OFFSET($A$9,0,1,1,372))*((OFFSET($A42,0,1,1,372))=NL$5))=0,"",SUMPRODUCT((OFFSET($A42,0,1,1,372)&lt;&gt;"")*(OFFSET($A$9,0,1,1,372))*((OFFSET($A42,0,1,1,372))=NL$5)))</f>
        <v/>
      </c>
      <c r="NR42" s="75" t="str">
        <f t="array" aca="1" ref="NR42" ca="1">IF(SUMPRODUCT((OFFSET($A42,0,1,1,372)&lt;&gt;"")*(OFFSET($A$9,0,1,1,372))*((OFFSET($A42,0,1,1,372))=NL$6))=0,"",SUMPRODUCT((OFFSET($A42,0,1,1,372)&lt;&gt;"")*(OFFSET($A$9,0,1,1,372))*((OFFSET($A42,0,1,1,372))=NL$6)))</f>
        <v/>
      </c>
      <c r="NS42" s="75" t="str">
        <f t="array" aca="1" ref="NS42" ca="1">IF(SUMPRODUCT((OFFSET($A42,0,1,1,372)&lt;&gt;"")*(OFFSET($A$9,0,1,1,372))*((OFFSET($A42,0,1,1,372))=NL$7))=0,"",SUMPRODUCT((OFFSET($A42,0,1,1,372)&lt;&gt;"")*(OFFSET($A$9,0,1,1,372))*((OFFSET($A42,0,1,1,372))=NL$7)))</f>
        <v/>
      </c>
      <c r="NT42" s="75" t="str" cm="1">
        <f t="array" aca="1" ref="NT42" ca="1">IF(SUMPRODUCT((OFFSET($A42,0,1,1,372)&lt;&gt;"")*(OFFSET($A$9,0,1,1,372))*((OFFSET($A42,0,1,1,372))=NL$9))=0,"",SUMPRODUCT((OFFSET($A42,0,1,1,372)&lt;&gt;"")*(OFFSET($A$9,0,1,1,372))*((OFFSET($A42,0,1,1,372))=NL$9)))</f>
        <v/>
      </c>
    </row>
    <row r="43" spans="1:384" ht="15.5" x14ac:dyDescent="0.35">
      <c r="A43" s="3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  <c r="KI43" s="14"/>
      <c r="KJ43" s="14"/>
      <c r="KK43" s="14"/>
      <c r="KL43" s="14"/>
      <c r="KM43" s="14"/>
      <c r="KN43" s="14"/>
      <c r="KO43" s="14"/>
      <c r="KP43" s="14"/>
      <c r="KQ43" s="14"/>
      <c r="KR43" s="14"/>
      <c r="KS43" s="14"/>
      <c r="KT43" s="14"/>
      <c r="KU43" s="14"/>
      <c r="KV43" s="14"/>
      <c r="KW43" s="14"/>
      <c r="KX43" s="14"/>
      <c r="KY43" s="14"/>
      <c r="KZ43" s="14"/>
      <c r="LA43" s="14"/>
      <c r="LB43" s="14"/>
      <c r="LC43" s="14"/>
      <c r="LD43" s="14"/>
      <c r="LE43" s="14"/>
      <c r="LF43" s="14"/>
      <c r="LG43" s="14"/>
      <c r="LH43" s="14"/>
      <c r="LI43" s="14"/>
      <c r="LJ43" s="14"/>
      <c r="LK43" s="14"/>
      <c r="LL43" s="14"/>
      <c r="LM43" s="14"/>
      <c r="LN43" s="14"/>
      <c r="LO43" s="14"/>
      <c r="LP43" s="14"/>
      <c r="LQ43" s="14"/>
      <c r="LR43" s="14"/>
      <c r="LS43" s="14"/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/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/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/>
      <c r="ND43" s="14"/>
      <c r="NE43" s="14"/>
      <c r="NF43" s="14"/>
      <c r="NG43" s="14"/>
      <c r="NH43" s="14"/>
      <c r="NI43" s="33"/>
      <c r="NK43" s="39"/>
      <c r="NL43" s="48"/>
      <c r="NN43" s="76" t="str" cm="1">
        <f t="array" aca="1" ref="NN43" ca="1">IF(SUMPRODUCT((OFFSET($A43,0,31*($A$9-1)+1,1,31)&lt;&gt;"")*(IF(OFFSET($A43,0,31*($A$9-1)+1,1,31)=$NL$9,0.5,IF(OFFSET($A43,0,31*($A$9-1)+1,1,31)=$NL$8,0,1))*(OFFSET($A$9,0,31*($A$9-1)+1,1,31))))=0,"",SUMPRODUCT((OFFSET($A43,0,31*($A$9-1)+1,1,31)&lt;&gt;"")*(IF(OFFSET($A43,0,31*($A$9-1)+1,1,31)=$NL$9,0.5,IF(OFFSET($A43,0,31*($A$9-1)+1,1,31)=$NL$8,0,1))*(OFFSET($A$9,0,31*($A$9-1)+1,1,31)))))</f>
        <v/>
      </c>
      <c r="NO43" s="77" t="str" cm="1">
        <f t="array" aca="1" ref="NO43" ca="1">IF(SUMPRODUCT((OFFSET($A43,0,1,1,372)&lt;&gt;"")*(IF(OFFSET($A43,0,1,1,372)=$NL$9,0.5,IF(OFFSET($A43,0,1,1,372)=$NL$8,0,1))*(OFFSET($A$9,0,1,1,372))))=0,"",SUMPRODUCT((OFFSET($A43,0,1,1,372)&lt;&gt;"")*(IF(OFFSET($A43,0,1,1,372)=$NL$9,0.5,IF(OFFSET($A43,0,1,1,372)=$NL$8,0,1))*(OFFSET($A$9,0,1,1,372)))))</f>
        <v/>
      </c>
      <c r="NP43" s="46"/>
      <c r="NQ43" s="75" t="str">
        <f t="array" aca="1" ref="NQ43" ca="1">IF(SUMPRODUCT((OFFSET($A43,0,1,1,372)&lt;&gt;"")*(OFFSET($A$9,0,1,1,372))*((OFFSET($A43,0,1,1,372))=NL$5))=0,"",SUMPRODUCT((OFFSET($A43,0,1,1,372)&lt;&gt;"")*(OFFSET($A$9,0,1,1,372))*((OFFSET($A43,0,1,1,372))=NL$5)))</f>
        <v/>
      </c>
      <c r="NR43" s="75" t="str">
        <f t="array" aca="1" ref="NR43" ca="1">IF(SUMPRODUCT((OFFSET($A43,0,1,1,372)&lt;&gt;"")*(OFFSET($A$9,0,1,1,372))*((OFFSET($A43,0,1,1,372))=NL$6))=0,"",SUMPRODUCT((OFFSET($A43,0,1,1,372)&lt;&gt;"")*(OFFSET($A$9,0,1,1,372))*((OFFSET($A43,0,1,1,372))=NL$6)))</f>
        <v/>
      </c>
      <c r="NS43" s="75" t="str">
        <f t="array" aca="1" ref="NS43" ca="1">IF(SUMPRODUCT((OFFSET($A43,0,1,1,372)&lt;&gt;"")*(OFFSET($A$9,0,1,1,372))*((OFFSET($A43,0,1,1,372))=NL$7))=0,"",SUMPRODUCT((OFFSET($A43,0,1,1,372)&lt;&gt;"")*(OFFSET($A$9,0,1,1,372))*((OFFSET($A43,0,1,1,372))=NL$7)))</f>
        <v/>
      </c>
      <c r="NT43" s="75" t="str" cm="1">
        <f t="array" aca="1" ref="NT43" ca="1">IF(SUMPRODUCT((OFFSET($A43,0,1,1,372)&lt;&gt;"")*(OFFSET($A$9,0,1,1,372))*((OFFSET($A43,0,1,1,372))=NL$9))=0,"",SUMPRODUCT((OFFSET($A43,0,1,1,372)&lt;&gt;"")*(OFFSET($A$9,0,1,1,372))*((OFFSET($A43,0,1,1,372))=NL$9)))</f>
        <v/>
      </c>
    </row>
    <row r="44" spans="1:384" ht="15.5" x14ac:dyDescent="0.35">
      <c r="A44" s="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  <c r="KI44" s="14"/>
      <c r="KJ44" s="14"/>
      <c r="KK44" s="14"/>
      <c r="KL44" s="14"/>
      <c r="KM44" s="14"/>
      <c r="KN44" s="14"/>
      <c r="KO44" s="14"/>
      <c r="KP44" s="14"/>
      <c r="KQ44" s="14"/>
      <c r="KR44" s="14"/>
      <c r="KS44" s="14"/>
      <c r="KT44" s="14"/>
      <c r="KU44" s="14"/>
      <c r="KV44" s="14"/>
      <c r="KW44" s="14"/>
      <c r="KX44" s="14"/>
      <c r="KY44" s="14"/>
      <c r="KZ44" s="14"/>
      <c r="LA44" s="14"/>
      <c r="LB44" s="14"/>
      <c r="LC44" s="14"/>
      <c r="LD44" s="14"/>
      <c r="LE44" s="14"/>
      <c r="LF44" s="14"/>
      <c r="LG44" s="14"/>
      <c r="LH44" s="14"/>
      <c r="LI44" s="14"/>
      <c r="LJ44" s="14"/>
      <c r="LK44" s="14"/>
      <c r="LL44" s="14"/>
      <c r="LM44" s="14"/>
      <c r="LN44" s="14"/>
      <c r="LO44" s="14"/>
      <c r="LP44" s="14"/>
      <c r="LQ44" s="14"/>
      <c r="LR44" s="14"/>
      <c r="LS44" s="14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33"/>
      <c r="NK44" s="39"/>
      <c r="NL44" s="48"/>
      <c r="NN44" s="76" t="str" cm="1">
        <f t="array" aca="1" ref="NN44" ca="1">IF(SUMPRODUCT((OFFSET($A44,0,31*($A$9-1)+1,1,31)&lt;&gt;"")*(IF(OFFSET($A44,0,31*($A$9-1)+1,1,31)=$NL$9,0.5,IF(OFFSET($A44,0,31*($A$9-1)+1,1,31)=$NL$8,0,1))*(OFFSET($A$9,0,31*($A$9-1)+1,1,31))))=0,"",SUMPRODUCT((OFFSET($A44,0,31*($A$9-1)+1,1,31)&lt;&gt;"")*(IF(OFFSET($A44,0,31*($A$9-1)+1,1,31)=$NL$9,0.5,IF(OFFSET($A44,0,31*($A$9-1)+1,1,31)=$NL$8,0,1))*(OFFSET($A$9,0,31*($A$9-1)+1,1,31)))))</f>
        <v/>
      </c>
      <c r="NO44" s="77" t="str" cm="1">
        <f t="array" aca="1" ref="NO44" ca="1">IF(SUMPRODUCT((OFFSET($A44,0,1,1,372)&lt;&gt;"")*(IF(OFFSET($A44,0,1,1,372)=$NL$9,0.5,IF(OFFSET($A44,0,1,1,372)=$NL$8,0,1))*(OFFSET($A$9,0,1,1,372))))=0,"",SUMPRODUCT((OFFSET($A44,0,1,1,372)&lt;&gt;"")*(IF(OFFSET($A44,0,1,1,372)=$NL$9,0.5,IF(OFFSET($A44,0,1,1,372)=$NL$8,0,1))*(OFFSET($A$9,0,1,1,372)))))</f>
        <v/>
      </c>
      <c r="NP44" s="46"/>
      <c r="NQ44" s="75" t="str">
        <f t="array" aca="1" ref="NQ44" ca="1">IF(SUMPRODUCT((OFFSET($A44,0,1,1,372)&lt;&gt;"")*(OFFSET($A$9,0,1,1,372))*((OFFSET($A44,0,1,1,372))=NL$5))=0,"",SUMPRODUCT((OFFSET($A44,0,1,1,372)&lt;&gt;"")*(OFFSET($A$9,0,1,1,372))*((OFFSET($A44,0,1,1,372))=NL$5)))</f>
        <v/>
      </c>
      <c r="NR44" s="75" t="str">
        <f t="array" aca="1" ref="NR44" ca="1">IF(SUMPRODUCT((OFFSET($A44,0,1,1,372)&lt;&gt;"")*(OFFSET($A$9,0,1,1,372))*((OFFSET($A44,0,1,1,372))=NL$6))=0,"",SUMPRODUCT((OFFSET($A44,0,1,1,372)&lt;&gt;"")*(OFFSET($A$9,0,1,1,372))*((OFFSET($A44,0,1,1,372))=NL$6)))</f>
        <v/>
      </c>
      <c r="NS44" s="75" t="str">
        <f t="array" aca="1" ref="NS44" ca="1">IF(SUMPRODUCT((OFFSET($A44,0,1,1,372)&lt;&gt;"")*(OFFSET($A$9,0,1,1,372))*((OFFSET($A44,0,1,1,372))=NL$7))=0,"",SUMPRODUCT((OFFSET($A44,0,1,1,372)&lt;&gt;"")*(OFFSET($A$9,0,1,1,372))*((OFFSET($A44,0,1,1,372))=NL$7)))</f>
        <v/>
      </c>
      <c r="NT44" s="75" t="str" cm="1">
        <f t="array" aca="1" ref="NT44" ca="1">IF(SUMPRODUCT((OFFSET($A44,0,1,1,372)&lt;&gt;"")*(OFFSET($A$9,0,1,1,372))*((OFFSET($A44,0,1,1,372))=NL$9))=0,"",SUMPRODUCT((OFFSET($A44,0,1,1,372)&lt;&gt;"")*(OFFSET($A$9,0,1,1,372))*((OFFSET($A44,0,1,1,372))=NL$9)))</f>
        <v/>
      </c>
    </row>
    <row r="45" spans="1:384" ht="15.5" x14ac:dyDescent="0.35">
      <c r="A45" s="3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  <c r="KI45" s="14"/>
      <c r="KJ45" s="14"/>
      <c r="KK45" s="14"/>
      <c r="KL45" s="14"/>
      <c r="KM45" s="14"/>
      <c r="KN45" s="14"/>
      <c r="KO45" s="14"/>
      <c r="KP45" s="14"/>
      <c r="KQ45" s="14"/>
      <c r="KR45" s="14"/>
      <c r="KS45" s="14"/>
      <c r="KT45" s="14"/>
      <c r="KU45" s="14"/>
      <c r="KV45" s="14"/>
      <c r="KW45" s="14"/>
      <c r="KX45" s="14"/>
      <c r="KY45" s="14"/>
      <c r="KZ45" s="14"/>
      <c r="LA45" s="14"/>
      <c r="LB45" s="14"/>
      <c r="LC45" s="14"/>
      <c r="LD45" s="14"/>
      <c r="LE45" s="14"/>
      <c r="LF45" s="14"/>
      <c r="LG45" s="14"/>
      <c r="LH45" s="14"/>
      <c r="LI45" s="14"/>
      <c r="LJ45" s="14"/>
      <c r="LK45" s="14"/>
      <c r="LL45" s="14"/>
      <c r="LM45" s="14"/>
      <c r="LN45" s="14"/>
      <c r="LO45" s="14"/>
      <c r="LP45" s="14"/>
      <c r="LQ45" s="14"/>
      <c r="LR45" s="14"/>
      <c r="LS45" s="14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33"/>
      <c r="NK45" s="39"/>
      <c r="NL45" s="48"/>
      <c r="NN45" s="76" t="str" cm="1">
        <f t="array" aca="1" ref="NN45" ca="1">IF(SUMPRODUCT((OFFSET($A45,0,31*($A$9-1)+1,1,31)&lt;&gt;"")*(IF(OFFSET($A45,0,31*($A$9-1)+1,1,31)=$NL$9,0.5,IF(OFFSET($A45,0,31*($A$9-1)+1,1,31)=$NL$8,0,1))*(OFFSET($A$9,0,31*($A$9-1)+1,1,31))))=0,"",SUMPRODUCT((OFFSET($A45,0,31*($A$9-1)+1,1,31)&lt;&gt;"")*(IF(OFFSET($A45,0,31*($A$9-1)+1,1,31)=$NL$9,0.5,IF(OFFSET($A45,0,31*($A$9-1)+1,1,31)=$NL$8,0,1))*(OFFSET($A$9,0,31*($A$9-1)+1,1,31)))))</f>
        <v/>
      </c>
      <c r="NO45" s="77" t="str" cm="1">
        <f t="array" aca="1" ref="NO45" ca="1">IF(SUMPRODUCT((OFFSET($A45,0,1,1,372)&lt;&gt;"")*(IF(OFFSET($A45,0,1,1,372)=$NL$9,0.5,IF(OFFSET($A45,0,1,1,372)=$NL$8,0,1))*(OFFSET($A$9,0,1,1,372))))=0,"",SUMPRODUCT((OFFSET($A45,0,1,1,372)&lt;&gt;"")*(IF(OFFSET($A45,0,1,1,372)=$NL$9,0.5,IF(OFFSET($A45,0,1,1,372)=$NL$8,0,1))*(OFFSET($A$9,0,1,1,372)))))</f>
        <v/>
      </c>
      <c r="NP45" s="46"/>
      <c r="NQ45" s="75" t="str">
        <f t="array" aca="1" ref="NQ45" ca="1">IF(SUMPRODUCT((OFFSET($A45,0,1,1,372)&lt;&gt;"")*(OFFSET($A$9,0,1,1,372))*((OFFSET($A45,0,1,1,372))=NL$5))=0,"",SUMPRODUCT((OFFSET($A45,0,1,1,372)&lt;&gt;"")*(OFFSET($A$9,0,1,1,372))*((OFFSET($A45,0,1,1,372))=NL$5)))</f>
        <v/>
      </c>
      <c r="NR45" s="75" t="str">
        <f t="array" aca="1" ref="NR45" ca="1">IF(SUMPRODUCT((OFFSET($A45,0,1,1,372)&lt;&gt;"")*(OFFSET($A$9,0,1,1,372))*((OFFSET($A45,0,1,1,372))=NL$6))=0,"",SUMPRODUCT((OFFSET($A45,0,1,1,372)&lt;&gt;"")*(OFFSET($A$9,0,1,1,372))*((OFFSET($A45,0,1,1,372))=NL$6)))</f>
        <v/>
      </c>
      <c r="NS45" s="75" t="str">
        <f t="array" aca="1" ref="NS45" ca="1">IF(SUMPRODUCT((OFFSET($A45,0,1,1,372)&lt;&gt;"")*(OFFSET($A$9,0,1,1,372))*((OFFSET($A45,0,1,1,372))=NL$7))=0,"",SUMPRODUCT((OFFSET($A45,0,1,1,372)&lt;&gt;"")*(OFFSET($A$9,0,1,1,372))*((OFFSET($A45,0,1,1,372))=NL$7)))</f>
        <v/>
      </c>
      <c r="NT45" s="75" t="str" cm="1">
        <f t="array" aca="1" ref="NT45" ca="1">IF(SUMPRODUCT((OFFSET($A45,0,1,1,372)&lt;&gt;"")*(OFFSET($A$9,0,1,1,372))*((OFFSET($A45,0,1,1,372))=NL$9))=0,"",SUMPRODUCT((OFFSET($A45,0,1,1,372)&lt;&gt;"")*(OFFSET($A$9,0,1,1,372))*((OFFSET($A45,0,1,1,372))=NL$9)))</f>
        <v/>
      </c>
    </row>
    <row r="46" spans="1:384" ht="15.5" x14ac:dyDescent="0.35">
      <c r="A46" s="3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  <c r="KI46" s="14"/>
      <c r="KJ46" s="14"/>
      <c r="KK46" s="14"/>
      <c r="KL46" s="14"/>
      <c r="KM46" s="14"/>
      <c r="KN46" s="14"/>
      <c r="KO46" s="14"/>
      <c r="KP46" s="14"/>
      <c r="KQ46" s="14"/>
      <c r="KR46" s="14"/>
      <c r="KS46" s="14"/>
      <c r="KT46" s="14"/>
      <c r="KU46" s="14"/>
      <c r="KV46" s="14"/>
      <c r="KW46" s="14"/>
      <c r="KX46" s="14"/>
      <c r="KY46" s="14"/>
      <c r="KZ46" s="14"/>
      <c r="LA46" s="14"/>
      <c r="LB46" s="14"/>
      <c r="LC46" s="14"/>
      <c r="LD46" s="14"/>
      <c r="LE46" s="14"/>
      <c r="LF46" s="14"/>
      <c r="LG46" s="14"/>
      <c r="LH46" s="14"/>
      <c r="LI46" s="14"/>
      <c r="LJ46" s="14"/>
      <c r="LK46" s="14"/>
      <c r="LL46" s="14"/>
      <c r="LM46" s="14"/>
      <c r="LN46" s="14"/>
      <c r="LO46" s="14"/>
      <c r="LP46" s="14"/>
      <c r="LQ46" s="14"/>
      <c r="LR46" s="14"/>
      <c r="LS46" s="14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33"/>
      <c r="NK46" s="39"/>
      <c r="NL46" s="48"/>
      <c r="NN46" s="76" t="str" cm="1">
        <f t="array" aca="1" ref="NN46" ca="1">IF(SUMPRODUCT((OFFSET($A46,0,31*($A$9-1)+1,1,31)&lt;&gt;"")*(IF(OFFSET($A46,0,31*($A$9-1)+1,1,31)=$NL$9,0.5,IF(OFFSET($A46,0,31*($A$9-1)+1,1,31)=$NL$8,0,1))*(OFFSET($A$9,0,31*($A$9-1)+1,1,31))))=0,"",SUMPRODUCT((OFFSET($A46,0,31*($A$9-1)+1,1,31)&lt;&gt;"")*(IF(OFFSET($A46,0,31*($A$9-1)+1,1,31)=$NL$9,0.5,IF(OFFSET($A46,0,31*($A$9-1)+1,1,31)=$NL$8,0,1))*(OFFSET($A$9,0,31*($A$9-1)+1,1,31)))))</f>
        <v/>
      </c>
      <c r="NO46" s="77" t="str" cm="1">
        <f t="array" aca="1" ref="NO46" ca="1">IF(SUMPRODUCT((OFFSET($A46,0,1,1,372)&lt;&gt;"")*(IF(OFFSET($A46,0,1,1,372)=$NL$9,0.5,IF(OFFSET($A46,0,1,1,372)=$NL$8,0,1))*(OFFSET($A$9,0,1,1,372))))=0,"",SUMPRODUCT((OFFSET($A46,0,1,1,372)&lt;&gt;"")*(IF(OFFSET($A46,0,1,1,372)=$NL$9,0.5,IF(OFFSET($A46,0,1,1,372)=$NL$8,0,1))*(OFFSET($A$9,0,1,1,372)))))</f>
        <v/>
      </c>
      <c r="NP46" s="46"/>
      <c r="NQ46" s="75" t="str">
        <f t="array" aca="1" ref="NQ46" ca="1">IF(SUMPRODUCT((OFFSET($A46,0,1,1,372)&lt;&gt;"")*(OFFSET($A$9,0,1,1,372))*((OFFSET($A46,0,1,1,372))=NL$5))=0,"",SUMPRODUCT((OFFSET($A46,0,1,1,372)&lt;&gt;"")*(OFFSET($A$9,0,1,1,372))*((OFFSET($A46,0,1,1,372))=NL$5)))</f>
        <v/>
      </c>
      <c r="NR46" s="75" t="str">
        <f t="array" aca="1" ref="NR46" ca="1">IF(SUMPRODUCT((OFFSET($A46,0,1,1,372)&lt;&gt;"")*(OFFSET($A$9,0,1,1,372))*((OFFSET($A46,0,1,1,372))=NL$6))=0,"",SUMPRODUCT((OFFSET($A46,0,1,1,372)&lt;&gt;"")*(OFFSET($A$9,0,1,1,372))*((OFFSET($A46,0,1,1,372))=NL$6)))</f>
        <v/>
      </c>
      <c r="NS46" s="75" t="str">
        <f t="array" aca="1" ref="NS46" ca="1">IF(SUMPRODUCT((OFFSET($A46,0,1,1,372)&lt;&gt;"")*(OFFSET($A$9,0,1,1,372))*((OFFSET($A46,0,1,1,372))=NL$7))=0,"",SUMPRODUCT((OFFSET($A46,0,1,1,372)&lt;&gt;"")*(OFFSET($A$9,0,1,1,372))*((OFFSET($A46,0,1,1,372))=NL$7)))</f>
        <v/>
      </c>
      <c r="NT46" s="75" t="str" cm="1">
        <f t="array" aca="1" ref="NT46" ca="1">IF(SUMPRODUCT((OFFSET($A46,0,1,1,372)&lt;&gt;"")*(OFFSET($A$9,0,1,1,372))*((OFFSET($A46,0,1,1,372))=NL$9))=0,"",SUMPRODUCT((OFFSET($A46,0,1,1,372)&lt;&gt;"")*(OFFSET($A$9,0,1,1,372))*((OFFSET($A46,0,1,1,372))=NL$9)))</f>
        <v/>
      </c>
    </row>
    <row r="47" spans="1:384" ht="15.5" x14ac:dyDescent="0.35">
      <c r="A47" s="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  <c r="KI47" s="14"/>
      <c r="KJ47" s="14"/>
      <c r="KK47" s="14"/>
      <c r="KL47" s="14"/>
      <c r="KM47" s="14"/>
      <c r="KN47" s="14"/>
      <c r="KO47" s="14"/>
      <c r="KP47" s="14"/>
      <c r="KQ47" s="14"/>
      <c r="KR47" s="14"/>
      <c r="KS47" s="14"/>
      <c r="KT47" s="14"/>
      <c r="KU47" s="14"/>
      <c r="KV47" s="14"/>
      <c r="KW47" s="14"/>
      <c r="KX47" s="14"/>
      <c r="KY47" s="14"/>
      <c r="KZ47" s="14"/>
      <c r="LA47" s="14"/>
      <c r="LB47" s="14"/>
      <c r="LC47" s="14"/>
      <c r="LD47" s="14"/>
      <c r="LE47" s="14"/>
      <c r="LF47" s="14"/>
      <c r="LG47" s="14"/>
      <c r="LH47" s="14"/>
      <c r="LI47" s="14"/>
      <c r="LJ47" s="14"/>
      <c r="LK47" s="14"/>
      <c r="LL47" s="14"/>
      <c r="LM47" s="14"/>
      <c r="LN47" s="14"/>
      <c r="LO47" s="14"/>
      <c r="LP47" s="14"/>
      <c r="LQ47" s="14"/>
      <c r="LR47" s="14"/>
      <c r="LS47" s="14"/>
      <c r="LT47" s="14"/>
      <c r="LU47" s="14"/>
      <c r="LV47" s="14"/>
      <c r="LW47" s="14"/>
      <c r="LX47" s="14"/>
      <c r="LY47" s="14"/>
      <c r="LZ47" s="14"/>
      <c r="MA47" s="14"/>
      <c r="MB47" s="14"/>
      <c r="MC47" s="14"/>
      <c r="MD47" s="14"/>
      <c r="ME47" s="14"/>
      <c r="MF47" s="14"/>
      <c r="MG47" s="14"/>
      <c r="MH47" s="14"/>
      <c r="MI47" s="14"/>
      <c r="MJ47" s="14"/>
      <c r="MK47" s="14"/>
      <c r="ML47" s="14"/>
      <c r="MM47" s="14"/>
      <c r="MN47" s="14"/>
      <c r="MO47" s="14"/>
      <c r="MP47" s="14"/>
      <c r="MQ47" s="14"/>
      <c r="MR47" s="14"/>
      <c r="MS47" s="14"/>
      <c r="MT47" s="14"/>
      <c r="MU47" s="14"/>
      <c r="MV47" s="14"/>
      <c r="MW47" s="14"/>
      <c r="MX47" s="14"/>
      <c r="MY47" s="14"/>
      <c r="MZ47" s="14"/>
      <c r="NA47" s="14"/>
      <c r="NB47" s="14"/>
      <c r="NC47" s="14"/>
      <c r="ND47" s="14"/>
      <c r="NE47" s="14"/>
      <c r="NF47" s="14"/>
      <c r="NG47" s="14"/>
      <c r="NH47" s="14"/>
      <c r="NI47" s="33"/>
      <c r="NK47" s="39"/>
      <c r="NL47" s="48"/>
      <c r="NN47" s="76" t="str" cm="1">
        <f t="array" aca="1" ref="NN47" ca="1">IF(SUMPRODUCT((OFFSET($A47,0,31*($A$9-1)+1,1,31)&lt;&gt;"")*(IF(OFFSET($A47,0,31*($A$9-1)+1,1,31)=$NL$9,0.5,IF(OFFSET($A47,0,31*($A$9-1)+1,1,31)=$NL$8,0,1))*(OFFSET($A$9,0,31*($A$9-1)+1,1,31))))=0,"",SUMPRODUCT((OFFSET($A47,0,31*($A$9-1)+1,1,31)&lt;&gt;"")*(IF(OFFSET($A47,0,31*($A$9-1)+1,1,31)=$NL$9,0.5,IF(OFFSET($A47,0,31*($A$9-1)+1,1,31)=$NL$8,0,1))*(OFFSET($A$9,0,31*($A$9-1)+1,1,31)))))</f>
        <v/>
      </c>
      <c r="NO47" s="77" t="str" cm="1">
        <f t="array" aca="1" ref="NO47" ca="1">IF(SUMPRODUCT((OFFSET($A47,0,1,1,372)&lt;&gt;"")*(IF(OFFSET($A47,0,1,1,372)=$NL$9,0.5,IF(OFFSET($A47,0,1,1,372)=$NL$8,0,1))*(OFFSET($A$9,0,1,1,372))))=0,"",SUMPRODUCT((OFFSET($A47,0,1,1,372)&lt;&gt;"")*(IF(OFFSET($A47,0,1,1,372)=$NL$9,0.5,IF(OFFSET($A47,0,1,1,372)=$NL$8,0,1))*(OFFSET($A$9,0,1,1,372)))))</f>
        <v/>
      </c>
      <c r="NP47" s="46"/>
      <c r="NQ47" s="75" t="str">
        <f t="array" aca="1" ref="NQ47" ca="1">IF(SUMPRODUCT((OFFSET($A47,0,1,1,372)&lt;&gt;"")*(OFFSET($A$9,0,1,1,372))*((OFFSET($A47,0,1,1,372))=NL$5))=0,"",SUMPRODUCT((OFFSET($A47,0,1,1,372)&lt;&gt;"")*(OFFSET($A$9,0,1,1,372))*((OFFSET($A47,0,1,1,372))=NL$5)))</f>
        <v/>
      </c>
      <c r="NR47" s="75" t="str">
        <f t="array" aca="1" ref="NR47" ca="1">IF(SUMPRODUCT((OFFSET($A47,0,1,1,372)&lt;&gt;"")*(OFFSET($A$9,0,1,1,372))*((OFFSET($A47,0,1,1,372))=NL$6))=0,"",SUMPRODUCT((OFFSET($A47,0,1,1,372)&lt;&gt;"")*(OFFSET($A$9,0,1,1,372))*((OFFSET($A47,0,1,1,372))=NL$6)))</f>
        <v/>
      </c>
      <c r="NS47" s="75" t="str">
        <f t="array" aca="1" ref="NS47" ca="1">IF(SUMPRODUCT((OFFSET($A47,0,1,1,372)&lt;&gt;"")*(OFFSET($A$9,0,1,1,372))*((OFFSET($A47,0,1,1,372))=NL$7))=0,"",SUMPRODUCT((OFFSET($A47,0,1,1,372)&lt;&gt;"")*(OFFSET($A$9,0,1,1,372))*((OFFSET($A47,0,1,1,372))=NL$7)))</f>
        <v/>
      </c>
      <c r="NT47" s="75" t="str" cm="1">
        <f t="array" aca="1" ref="NT47" ca="1">IF(SUMPRODUCT((OFFSET($A47,0,1,1,372)&lt;&gt;"")*(OFFSET($A$9,0,1,1,372))*((OFFSET($A47,0,1,1,372))=NL$9))=0,"",SUMPRODUCT((OFFSET($A47,0,1,1,372)&lt;&gt;"")*(OFFSET($A$9,0,1,1,372))*((OFFSET($A47,0,1,1,372))=NL$9)))</f>
        <v/>
      </c>
    </row>
    <row r="48" spans="1:384" ht="15.5" x14ac:dyDescent="0.35">
      <c r="A48" s="3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  <c r="KI48" s="14"/>
      <c r="KJ48" s="14"/>
      <c r="KK48" s="14"/>
      <c r="KL48" s="14"/>
      <c r="KM48" s="14"/>
      <c r="KN48" s="14"/>
      <c r="KO48" s="14"/>
      <c r="KP48" s="14"/>
      <c r="KQ48" s="14"/>
      <c r="KR48" s="14"/>
      <c r="KS48" s="14"/>
      <c r="KT48" s="14"/>
      <c r="KU48" s="14"/>
      <c r="KV48" s="14"/>
      <c r="KW48" s="14"/>
      <c r="KX48" s="14"/>
      <c r="KY48" s="14"/>
      <c r="KZ48" s="14"/>
      <c r="LA48" s="14"/>
      <c r="LB48" s="14"/>
      <c r="LC48" s="14"/>
      <c r="LD48" s="14"/>
      <c r="LE48" s="14"/>
      <c r="LF48" s="14"/>
      <c r="LG48" s="14"/>
      <c r="LH48" s="14"/>
      <c r="LI48" s="14"/>
      <c r="LJ48" s="14"/>
      <c r="LK48" s="14"/>
      <c r="LL48" s="14"/>
      <c r="LM48" s="14"/>
      <c r="LN48" s="14"/>
      <c r="LO48" s="14"/>
      <c r="LP48" s="14"/>
      <c r="LQ48" s="14"/>
      <c r="LR48" s="14"/>
      <c r="LS48" s="14"/>
      <c r="LT48" s="14"/>
      <c r="LU48" s="14"/>
      <c r="LV48" s="14"/>
      <c r="LW48" s="14"/>
      <c r="LX48" s="14"/>
      <c r="LY48" s="14"/>
      <c r="LZ48" s="14"/>
      <c r="MA48" s="14"/>
      <c r="MB48" s="14"/>
      <c r="MC48" s="14"/>
      <c r="MD48" s="14"/>
      <c r="ME48" s="14"/>
      <c r="MF48" s="14"/>
      <c r="MG48" s="14"/>
      <c r="MH48" s="14"/>
      <c r="MI48" s="14"/>
      <c r="MJ48" s="14"/>
      <c r="MK48" s="14"/>
      <c r="ML48" s="14"/>
      <c r="MM48" s="14"/>
      <c r="MN48" s="14"/>
      <c r="MO48" s="14"/>
      <c r="MP48" s="14"/>
      <c r="MQ48" s="14"/>
      <c r="MR48" s="14"/>
      <c r="MS48" s="14"/>
      <c r="MT48" s="14"/>
      <c r="MU48" s="14"/>
      <c r="MV48" s="14"/>
      <c r="MW48" s="14"/>
      <c r="MX48" s="14"/>
      <c r="MY48" s="14"/>
      <c r="MZ48" s="14"/>
      <c r="NA48" s="14"/>
      <c r="NB48" s="14"/>
      <c r="NC48" s="14"/>
      <c r="ND48" s="14"/>
      <c r="NE48" s="14"/>
      <c r="NF48" s="14"/>
      <c r="NG48" s="14"/>
      <c r="NH48" s="14"/>
      <c r="NI48" s="33"/>
      <c r="NK48" s="39"/>
      <c r="NL48" s="48"/>
      <c r="NN48" s="76" t="str" cm="1">
        <f t="array" aca="1" ref="NN48" ca="1">IF(SUMPRODUCT((OFFSET($A48,0,31*($A$9-1)+1,1,31)&lt;&gt;"")*(IF(OFFSET($A48,0,31*($A$9-1)+1,1,31)=$NL$9,0.5,IF(OFFSET($A48,0,31*($A$9-1)+1,1,31)=$NL$8,0,1))*(OFFSET($A$9,0,31*($A$9-1)+1,1,31))))=0,"",SUMPRODUCT((OFFSET($A48,0,31*($A$9-1)+1,1,31)&lt;&gt;"")*(IF(OFFSET($A48,0,31*($A$9-1)+1,1,31)=$NL$9,0.5,IF(OFFSET($A48,0,31*($A$9-1)+1,1,31)=$NL$8,0,1))*(OFFSET($A$9,0,31*($A$9-1)+1,1,31)))))</f>
        <v/>
      </c>
      <c r="NO48" s="77" t="str" cm="1">
        <f t="array" aca="1" ref="NO48" ca="1">IF(SUMPRODUCT((OFFSET($A48,0,1,1,372)&lt;&gt;"")*(IF(OFFSET($A48,0,1,1,372)=$NL$9,0.5,IF(OFFSET($A48,0,1,1,372)=$NL$8,0,1))*(OFFSET($A$9,0,1,1,372))))=0,"",SUMPRODUCT((OFFSET($A48,0,1,1,372)&lt;&gt;"")*(IF(OFFSET($A48,0,1,1,372)=$NL$9,0.5,IF(OFFSET($A48,0,1,1,372)=$NL$8,0,1))*(OFFSET($A$9,0,1,1,372)))))</f>
        <v/>
      </c>
      <c r="NP48" s="46"/>
      <c r="NQ48" s="75" t="str">
        <f t="array" aca="1" ref="NQ48" ca="1">IF(SUMPRODUCT((OFFSET($A48,0,1,1,372)&lt;&gt;"")*(OFFSET($A$9,0,1,1,372))*((OFFSET($A48,0,1,1,372))=NL$5))=0,"",SUMPRODUCT((OFFSET($A48,0,1,1,372)&lt;&gt;"")*(OFFSET($A$9,0,1,1,372))*((OFFSET($A48,0,1,1,372))=NL$5)))</f>
        <v/>
      </c>
      <c r="NR48" s="75" t="str">
        <f t="array" aca="1" ref="NR48" ca="1">IF(SUMPRODUCT((OFFSET($A48,0,1,1,372)&lt;&gt;"")*(OFFSET($A$9,0,1,1,372))*((OFFSET($A48,0,1,1,372))=NL$6))=0,"",SUMPRODUCT((OFFSET($A48,0,1,1,372)&lt;&gt;"")*(OFFSET($A$9,0,1,1,372))*((OFFSET($A48,0,1,1,372))=NL$6)))</f>
        <v/>
      </c>
      <c r="NS48" s="75" t="str">
        <f t="array" aca="1" ref="NS48" ca="1">IF(SUMPRODUCT((OFFSET($A48,0,1,1,372)&lt;&gt;"")*(OFFSET($A$9,0,1,1,372))*((OFFSET($A48,0,1,1,372))=NL$7))=0,"",SUMPRODUCT((OFFSET($A48,0,1,1,372)&lt;&gt;"")*(OFFSET($A$9,0,1,1,372))*((OFFSET($A48,0,1,1,372))=NL$7)))</f>
        <v/>
      </c>
      <c r="NT48" s="75" t="str" cm="1">
        <f t="array" aca="1" ref="NT48" ca="1">IF(SUMPRODUCT((OFFSET($A48,0,1,1,372)&lt;&gt;"")*(OFFSET($A$9,0,1,1,372))*((OFFSET($A48,0,1,1,372))=NL$9))=0,"",SUMPRODUCT((OFFSET($A48,0,1,1,372)&lt;&gt;"")*(OFFSET($A$9,0,1,1,372))*((OFFSET($A48,0,1,1,372))=NL$9)))</f>
        <v/>
      </c>
    </row>
    <row r="49" spans="1:384" ht="15.5" x14ac:dyDescent="0.35">
      <c r="A49" s="3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  <c r="KI49" s="14"/>
      <c r="KJ49" s="14"/>
      <c r="KK49" s="14"/>
      <c r="KL49" s="14"/>
      <c r="KM49" s="14"/>
      <c r="KN49" s="14"/>
      <c r="KO49" s="14"/>
      <c r="KP49" s="14"/>
      <c r="KQ49" s="14"/>
      <c r="KR49" s="14"/>
      <c r="KS49" s="14"/>
      <c r="KT49" s="14"/>
      <c r="KU49" s="14"/>
      <c r="KV49" s="14"/>
      <c r="KW49" s="14"/>
      <c r="KX49" s="14"/>
      <c r="KY49" s="14"/>
      <c r="KZ49" s="14"/>
      <c r="LA49" s="14"/>
      <c r="LB49" s="14"/>
      <c r="LC49" s="14"/>
      <c r="LD49" s="14"/>
      <c r="LE49" s="14"/>
      <c r="LF49" s="14"/>
      <c r="LG49" s="14"/>
      <c r="LH49" s="14"/>
      <c r="LI49" s="14"/>
      <c r="LJ49" s="14"/>
      <c r="LK49" s="14"/>
      <c r="LL49" s="14"/>
      <c r="LM49" s="14"/>
      <c r="LN49" s="14"/>
      <c r="LO49" s="14"/>
      <c r="LP49" s="14"/>
      <c r="LQ49" s="14"/>
      <c r="LR49" s="14"/>
      <c r="LS49" s="14"/>
      <c r="LT49" s="14"/>
      <c r="LU49" s="14"/>
      <c r="LV49" s="14"/>
      <c r="LW49" s="14"/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/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/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/>
      <c r="NH49" s="14"/>
      <c r="NI49" s="33"/>
      <c r="NK49" s="39"/>
      <c r="NL49" s="48"/>
      <c r="NN49" s="76" t="str" cm="1">
        <f t="array" aca="1" ref="NN49" ca="1">IF(SUMPRODUCT((OFFSET($A49,0,31*($A$9-1)+1,1,31)&lt;&gt;"")*(IF(OFFSET($A49,0,31*($A$9-1)+1,1,31)=$NL$9,0.5,IF(OFFSET($A49,0,31*($A$9-1)+1,1,31)=$NL$8,0,1))*(OFFSET($A$9,0,31*($A$9-1)+1,1,31))))=0,"",SUMPRODUCT((OFFSET($A49,0,31*($A$9-1)+1,1,31)&lt;&gt;"")*(IF(OFFSET($A49,0,31*($A$9-1)+1,1,31)=$NL$9,0.5,IF(OFFSET($A49,0,31*($A$9-1)+1,1,31)=$NL$8,0,1))*(OFFSET($A$9,0,31*($A$9-1)+1,1,31)))))</f>
        <v/>
      </c>
      <c r="NO49" s="77" t="str" cm="1">
        <f t="array" aca="1" ref="NO49" ca="1">IF(SUMPRODUCT((OFFSET($A49,0,1,1,372)&lt;&gt;"")*(IF(OFFSET($A49,0,1,1,372)=$NL$9,0.5,IF(OFFSET($A49,0,1,1,372)=$NL$8,0,1))*(OFFSET($A$9,0,1,1,372))))=0,"",SUMPRODUCT((OFFSET($A49,0,1,1,372)&lt;&gt;"")*(IF(OFFSET($A49,0,1,1,372)=$NL$9,0.5,IF(OFFSET($A49,0,1,1,372)=$NL$8,0,1))*(OFFSET($A$9,0,1,1,372)))))</f>
        <v/>
      </c>
      <c r="NP49" s="46"/>
      <c r="NQ49" s="75" t="str">
        <f t="array" aca="1" ref="NQ49" ca="1">IF(SUMPRODUCT((OFFSET($A49,0,1,1,372)&lt;&gt;"")*(OFFSET($A$9,0,1,1,372))*((OFFSET($A49,0,1,1,372))=NL$5))=0,"",SUMPRODUCT((OFFSET($A49,0,1,1,372)&lt;&gt;"")*(OFFSET($A$9,0,1,1,372))*((OFFSET($A49,0,1,1,372))=NL$5)))</f>
        <v/>
      </c>
      <c r="NR49" s="75" t="str">
        <f t="array" aca="1" ref="NR49" ca="1">IF(SUMPRODUCT((OFFSET($A49,0,1,1,372)&lt;&gt;"")*(OFFSET($A$9,0,1,1,372))*((OFFSET($A49,0,1,1,372))=NL$6))=0,"",SUMPRODUCT((OFFSET($A49,0,1,1,372)&lt;&gt;"")*(OFFSET($A$9,0,1,1,372))*((OFFSET($A49,0,1,1,372))=NL$6)))</f>
        <v/>
      </c>
      <c r="NS49" s="75" t="str">
        <f t="array" aca="1" ref="NS49" ca="1">IF(SUMPRODUCT((OFFSET($A49,0,1,1,372)&lt;&gt;"")*(OFFSET($A$9,0,1,1,372))*((OFFSET($A49,0,1,1,372))=NL$7))=0,"",SUMPRODUCT((OFFSET($A49,0,1,1,372)&lt;&gt;"")*(OFFSET($A$9,0,1,1,372))*((OFFSET($A49,0,1,1,372))=NL$7)))</f>
        <v/>
      </c>
      <c r="NT49" s="75" t="str" cm="1">
        <f t="array" aca="1" ref="NT49" ca="1">IF(SUMPRODUCT((OFFSET($A49,0,1,1,372)&lt;&gt;"")*(OFFSET($A$9,0,1,1,372))*((OFFSET($A49,0,1,1,372))=NL$9))=0,"",SUMPRODUCT((OFFSET($A49,0,1,1,372)&lt;&gt;"")*(OFFSET($A$9,0,1,1,372))*((OFFSET($A49,0,1,1,372))=NL$9)))</f>
        <v/>
      </c>
    </row>
    <row r="50" spans="1:384" ht="15.5" x14ac:dyDescent="0.35">
      <c r="A50" s="3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  <c r="KI50" s="14"/>
      <c r="KJ50" s="14"/>
      <c r="KK50" s="14"/>
      <c r="KL50" s="14"/>
      <c r="KM50" s="14"/>
      <c r="KN50" s="14"/>
      <c r="KO50" s="14"/>
      <c r="KP50" s="14"/>
      <c r="KQ50" s="14"/>
      <c r="KR50" s="14"/>
      <c r="KS50" s="14"/>
      <c r="KT50" s="14"/>
      <c r="KU50" s="14"/>
      <c r="KV50" s="14"/>
      <c r="KW50" s="14"/>
      <c r="KX50" s="14"/>
      <c r="KY50" s="14"/>
      <c r="KZ50" s="14"/>
      <c r="LA50" s="14"/>
      <c r="LB50" s="14"/>
      <c r="LC50" s="14"/>
      <c r="LD50" s="14"/>
      <c r="LE50" s="14"/>
      <c r="LF50" s="14"/>
      <c r="LG50" s="14"/>
      <c r="LH50" s="14"/>
      <c r="LI50" s="14"/>
      <c r="LJ50" s="14"/>
      <c r="LK50" s="14"/>
      <c r="LL50" s="14"/>
      <c r="LM50" s="14"/>
      <c r="LN50" s="14"/>
      <c r="LO50" s="14"/>
      <c r="LP50" s="14"/>
      <c r="LQ50" s="14"/>
      <c r="LR50" s="14"/>
      <c r="LS50" s="14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33"/>
      <c r="NK50" s="39"/>
      <c r="NL50" s="48"/>
      <c r="NN50" s="76" t="str" cm="1">
        <f t="array" aca="1" ref="NN50" ca="1">IF(SUMPRODUCT((OFFSET($A50,0,31*($A$9-1)+1,1,31)&lt;&gt;"")*(IF(OFFSET($A50,0,31*($A$9-1)+1,1,31)=$NL$9,0.5,IF(OFFSET($A50,0,31*($A$9-1)+1,1,31)=$NL$8,0,1))*(OFFSET($A$9,0,31*($A$9-1)+1,1,31))))=0,"",SUMPRODUCT((OFFSET($A50,0,31*($A$9-1)+1,1,31)&lt;&gt;"")*(IF(OFFSET($A50,0,31*($A$9-1)+1,1,31)=$NL$9,0.5,IF(OFFSET($A50,0,31*($A$9-1)+1,1,31)=$NL$8,0,1))*(OFFSET($A$9,0,31*($A$9-1)+1,1,31)))))</f>
        <v/>
      </c>
      <c r="NO50" s="77" t="str" cm="1">
        <f t="array" aca="1" ref="NO50" ca="1">IF(SUMPRODUCT((OFFSET($A50,0,1,1,372)&lt;&gt;"")*(IF(OFFSET($A50,0,1,1,372)=$NL$9,0.5,IF(OFFSET($A50,0,1,1,372)=$NL$8,0,1))*(OFFSET($A$9,0,1,1,372))))=0,"",SUMPRODUCT((OFFSET($A50,0,1,1,372)&lt;&gt;"")*(IF(OFFSET($A50,0,1,1,372)=$NL$9,0.5,IF(OFFSET($A50,0,1,1,372)=$NL$8,0,1))*(OFFSET($A$9,0,1,1,372)))))</f>
        <v/>
      </c>
      <c r="NP50" s="46"/>
      <c r="NQ50" s="75" t="str">
        <f t="array" aca="1" ref="NQ50" ca="1">IF(SUMPRODUCT((OFFSET($A50,0,1,1,372)&lt;&gt;"")*(OFFSET($A$9,0,1,1,372))*((OFFSET($A50,0,1,1,372))=NL$5))=0,"",SUMPRODUCT((OFFSET($A50,0,1,1,372)&lt;&gt;"")*(OFFSET($A$9,0,1,1,372))*((OFFSET($A50,0,1,1,372))=NL$5)))</f>
        <v/>
      </c>
      <c r="NR50" s="75" t="str">
        <f t="array" aca="1" ref="NR50" ca="1">IF(SUMPRODUCT((OFFSET($A50,0,1,1,372)&lt;&gt;"")*(OFFSET($A$9,0,1,1,372))*((OFFSET($A50,0,1,1,372))=NL$6))=0,"",SUMPRODUCT((OFFSET($A50,0,1,1,372)&lt;&gt;"")*(OFFSET($A$9,0,1,1,372))*((OFFSET($A50,0,1,1,372))=NL$6)))</f>
        <v/>
      </c>
      <c r="NS50" s="75" t="str">
        <f t="array" aca="1" ref="NS50" ca="1">IF(SUMPRODUCT((OFFSET($A50,0,1,1,372)&lt;&gt;"")*(OFFSET($A$9,0,1,1,372))*((OFFSET($A50,0,1,1,372))=NL$7))=0,"",SUMPRODUCT((OFFSET($A50,0,1,1,372)&lt;&gt;"")*(OFFSET($A$9,0,1,1,372))*((OFFSET($A50,0,1,1,372))=NL$7)))</f>
        <v/>
      </c>
      <c r="NT50" s="75" t="str" cm="1">
        <f t="array" aca="1" ref="NT50" ca="1">IF(SUMPRODUCT((OFFSET($A50,0,1,1,372)&lt;&gt;"")*(OFFSET($A$9,0,1,1,372))*((OFFSET($A50,0,1,1,372))=NL$9))=0,"",SUMPRODUCT((OFFSET($A50,0,1,1,372)&lt;&gt;"")*(OFFSET($A$9,0,1,1,372))*((OFFSET($A50,0,1,1,372))=NL$9)))</f>
        <v/>
      </c>
    </row>
    <row r="51" spans="1:384" ht="15.5" x14ac:dyDescent="0.35">
      <c r="A51" s="3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  <c r="KI51" s="14"/>
      <c r="KJ51" s="14"/>
      <c r="KK51" s="14"/>
      <c r="KL51" s="14"/>
      <c r="KM51" s="14"/>
      <c r="KN51" s="14"/>
      <c r="KO51" s="14"/>
      <c r="KP51" s="14"/>
      <c r="KQ51" s="14"/>
      <c r="KR51" s="14"/>
      <c r="KS51" s="14"/>
      <c r="KT51" s="14"/>
      <c r="KU51" s="14"/>
      <c r="KV51" s="14"/>
      <c r="KW51" s="14"/>
      <c r="KX51" s="14"/>
      <c r="KY51" s="14"/>
      <c r="KZ51" s="14"/>
      <c r="LA51" s="14"/>
      <c r="LB51" s="14"/>
      <c r="LC51" s="14"/>
      <c r="LD51" s="14"/>
      <c r="LE51" s="14"/>
      <c r="LF51" s="14"/>
      <c r="LG51" s="14"/>
      <c r="LH51" s="14"/>
      <c r="LI51" s="14"/>
      <c r="LJ51" s="14"/>
      <c r="LK51" s="14"/>
      <c r="LL51" s="14"/>
      <c r="LM51" s="14"/>
      <c r="LN51" s="14"/>
      <c r="LO51" s="14"/>
      <c r="LP51" s="14"/>
      <c r="LQ51" s="14"/>
      <c r="LR51" s="14"/>
      <c r="LS51" s="14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33"/>
      <c r="NK51" s="39"/>
      <c r="NL51" s="48"/>
      <c r="NN51" s="76" t="str" cm="1">
        <f t="array" aca="1" ref="NN51" ca="1">IF(SUMPRODUCT((OFFSET($A51,0,31*($A$9-1)+1,1,31)&lt;&gt;"")*(IF(OFFSET($A51,0,31*($A$9-1)+1,1,31)=$NL$9,0.5,IF(OFFSET($A51,0,31*($A$9-1)+1,1,31)=$NL$8,0,1))*(OFFSET($A$9,0,31*($A$9-1)+1,1,31))))=0,"",SUMPRODUCT((OFFSET($A51,0,31*($A$9-1)+1,1,31)&lt;&gt;"")*(IF(OFFSET($A51,0,31*($A$9-1)+1,1,31)=$NL$9,0.5,IF(OFFSET($A51,0,31*($A$9-1)+1,1,31)=$NL$8,0,1))*(OFFSET($A$9,0,31*($A$9-1)+1,1,31)))))</f>
        <v/>
      </c>
      <c r="NO51" s="77" t="str" cm="1">
        <f t="array" aca="1" ref="NO51" ca="1">IF(SUMPRODUCT((OFFSET($A51,0,1,1,372)&lt;&gt;"")*(IF(OFFSET($A51,0,1,1,372)=$NL$9,0.5,IF(OFFSET($A51,0,1,1,372)=$NL$8,0,1))*(OFFSET($A$9,0,1,1,372))))=0,"",SUMPRODUCT((OFFSET($A51,0,1,1,372)&lt;&gt;"")*(IF(OFFSET($A51,0,1,1,372)=$NL$9,0.5,IF(OFFSET($A51,0,1,1,372)=$NL$8,0,1))*(OFFSET($A$9,0,1,1,372)))))</f>
        <v/>
      </c>
      <c r="NP51" s="46"/>
      <c r="NQ51" s="75" t="str">
        <f t="array" aca="1" ref="NQ51" ca="1">IF(SUMPRODUCT((OFFSET($A51,0,1,1,372)&lt;&gt;"")*(OFFSET($A$9,0,1,1,372))*((OFFSET($A51,0,1,1,372))=NL$5))=0,"",SUMPRODUCT((OFFSET($A51,0,1,1,372)&lt;&gt;"")*(OFFSET($A$9,0,1,1,372))*((OFFSET($A51,0,1,1,372))=NL$5)))</f>
        <v/>
      </c>
      <c r="NR51" s="75" t="str">
        <f t="array" aca="1" ref="NR51" ca="1">IF(SUMPRODUCT((OFFSET($A51,0,1,1,372)&lt;&gt;"")*(OFFSET($A$9,0,1,1,372))*((OFFSET($A51,0,1,1,372))=NL$6))=0,"",SUMPRODUCT((OFFSET($A51,0,1,1,372)&lt;&gt;"")*(OFFSET($A$9,0,1,1,372))*((OFFSET($A51,0,1,1,372))=NL$6)))</f>
        <v/>
      </c>
      <c r="NS51" s="75" t="str">
        <f t="array" aca="1" ref="NS51" ca="1">IF(SUMPRODUCT((OFFSET($A51,0,1,1,372)&lt;&gt;"")*(OFFSET($A$9,0,1,1,372))*((OFFSET($A51,0,1,1,372))=NL$7))=0,"",SUMPRODUCT((OFFSET($A51,0,1,1,372)&lt;&gt;"")*(OFFSET($A$9,0,1,1,372))*((OFFSET($A51,0,1,1,372))=NL$7)))</f>
        <v/>
      </c>
      <c r="NT51" s="75" t="str" cm="1">
        <f t="array" aca="1" ref="NT51" ca="1">IF(SUMPRODUCT((OFFSET($A51,0,1,1,372)&lt;&gt;"")*(OFFSET($A$9,0,1,1,372))*((OFFSET($A51,0,1,1,372))=NL$9))=0,"",SUMPRODUCT((OFFSET($A51,0,1,1,372)&lt;&gt;"")*(OFFSET($A$9,0,1,1,372))*((OFFSET($A51,0,1,1,372))=NL$9)))</f>
        <v/>
      </c>
    </row>
    <row r="52" spans="1:384" ht="15.5" x14ac:dyDescent="0.35">
      <c r="A52" s="3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  <c r="KI52" s="14"/>
      <c r="KJ52" s="14"/>
      <c r="KK52" s="14"/>
      <c r="KL52" s="14"/>
      <c r="KM52" s="14"/>
      <c r="KN52" s="14"/>
      <c r="KO52" s="14"/>
      <c r="KP52" s="14"/>
      <c r="KQ52" s="14"/>
      <c r="KR52" s="14"/>
      <c r="KS52" s="14"/>
      <c r="KT52" s="14"/>
      <c r="KU52" s="14"/>
      <c r="KV52" s="14"/>
      <c r="KW52" s="14"/>
      <c r="KX52" s="14"/>
      <c r="KY52" s="14"/>
      <c r="KZ52" s="14"/>
      <c r="LA52" s="14"/>
      <c r="LB52" s="14"/>
      <c r="LC52" s="14"/>
      <c r="LD52" s="14"/>
      <c r="LE52" s="14"/>
      <c r="LF52" s="14"/>
      <c r="LG52" s="14"/>
      <c r="LH52" s="14"/>
      <c r="LI52" s="14"/>
      <c r="LJ52" s="14"/>
      <c r="LK52" s="14"/>
      <c r="LL52" s="14"/>
      <c r="LM52" s="14"/>
      <c r="LN52" s="14"/>
      <c r="LO52" s="14"/>
      <c r="LP52" s="14"/>
      <c r="LQ52" s="14"/>
      <c r="LR52" s="14"/>
      <c r="LS52" s="14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33"/>
      <c r="NK52" s="39"/>
      <c r="NL52" s="48"/>
      <c r="NN52" s="76" t="str" cm="1">
        <f t="array" aca="1" ref="NN52" ca="1">IF(SUMPRODUCT((OFFSET($A52,0,31*($A$9-1)+1,1,31)&lt;&gt;"")*(IF(OFFSET($A52,0,31*($A$9-1)+1,1,31)=$NL$9,0.5,IF(OFFSET($A52,0,31*($A$9-1)+1,1,31)=$NL$8,0,1))*(OFFSET($A$9,0,31*($A$9-1)+1,1,31))))=0,"",SUMPRODUCT((OFFSET($A52,0,31*($A$9-1)+1,1,31)&lt;&gt;"")*(IF(OFFSET($A52,0,31*($A$9-1)+1,1,31)=$NL$9,0.5,IF(OFFSET($A52,0,31*($A$9-1)+1,1,31)=$NL$8,0,1))*(OFFSET($A$9,0,31*($A$9-1)+1,1,31)))))</f>
        <v/>
      </c>
      <c r="NO52" s="77" t="str" cm="1">
        <f t="array" aca="1" ref="NO52" ca="1">IF(SUMPRODUCT((OFFSET($A52,0,1,1,372)&lt;&gt;"")*(IF(OFFSET($A52,0,1,1,372)=$NL$9,0.5,IF(OFFSET($A52,0,1,1,372)=$NL$8,0,1))*(OFFSET($A$9,0,1,1,372))))=0,"",SUMPRODUCT((OFFSET($A52,0,1,1,372)&lt;&gt;"")*(IF(OFFSET($A52,0,1,1,372)=$NL$9,0.5,IF(OFFSET($A52,0,1,1,372)=$NL$8,0,1))*(OFFSET($A$9,0,1,1,372)))))</f>
        <v/>
      </c>
      <c r="NP52" s="46"/>
      <c r="NQ52" s="75" t="str">
        <f t="array" aca="1" ref="NQ52" ca="1">IF(SUMPRODUCT((OFFSET($A52,0,1,1,372)&lt;&gt;"")*(OFFSET($A$9,0,1,1,372))*((OFFSET($A52,0,1,1,372))=NL$5))=0,"",SUMPRODUCT((OFFSET($A52,0,1,1,372)&lt;&gt;"")*(OFFSET($A$9,0,1,1,372))*((OFFSET($A52,0,1,1,372))=NL$5)))</f>
        <v/>
      </c>
      <c r="NR52" s="75" t="str">
        <f t="array" aca="1" ref="NR52" ca="1">IF(SUMPRODUCT((OFFSET($A52,0,1,1,372)&lt;&gt;"")*(OFFSET($A$9,0,1,1,372))*((OFFSET($A52,0,1,1,372))=NL$6))=0,"",SUMPRODUCT((OFFSET($A52,0,1,1,372)&lt;&gt;"")*(OFFSET($A$9,0,1,1,372))*((OFFSET($A52,0,1,1,372))=NL$6)))</f>
        <v/>
      </c>
      <c r="NS52" s="75" t="str">
        <f t="array" aca="1" ref="NS52" ca="1">IF(SUMPRODUCT((OFFSET($A52,0,1,1,372)&lt;&gt;"")*(OFFSET($A$9,0,1,1,372))*((OFFSET($A52,0,1,1,372))=NL$7))=0,"",SUMPRODUCT((OFFSET($A52,0,1,1,372)&lt;&gt;"")*(OFFSET($A$9,0,1,1,372))*((OFFSET($A52,0,1,1,372))=NL$7)))</f>
        <v/>
      </c>
      <c r="NT52" s="75" t="str" cm="1">
        <f t="array" aca="1" ref="NT52" ca="1">IF(SUMPRODUCT((OFFSET($A52,0,1,1,372)&lt;&gt;"")*(OFFSET($A$9,0,1,1,372))*((OFFSET($A52,0,1,1,372))=NL$9))=0,"",SUMPRODUCT((OFFSET($A52,0,1,1,372)&lt;&gt;"")*(OFFSET($A$9,0,1,1,372))*((OFFSET($A52,0,1,1,372))=NL$9)))</f>
        <v/>
      </c>
    </row>
    <row r="53" spans="1:384" ht="15.5" x14ac:dyDescent="0.35">
      <c r="A53" s="3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  <c r="KI53" s="14"/>
      <c r="KJ53" s="14"/>
      <c r="KK53" s="14"/>
      <c r="KL53" s="14"/>
      <c r="KM53" s="14"/>
      <c r="KN53" s="14"/>
      <c r="KO53" s="14"/>
      <c r="KP53" s="14"/>
      <c r="KQ53" s="14"/>
      <c r="KR53" s="14"/>
      <c r="KS53" s="14"/>
      <c r="KT53" s="14"/>
      <c r="KU53" s="14"/>
      <c r="KV53" s="14"/>
      <c r="KW53" s="14"/>
      <c r="KX53" s="14"/>
      <c r="KY53" s="14"/>
      <c r="KZ53" s="14"/>
      <c r="LA53" s="14"/>
      <c r="LB53" s="14"/>
      <c r="LC53" s="14"/>
      <c r="LD53" s="14"/>
      <c r="LE53" s="14"/>
      <c r="LF53" s="14"/>
      <c r="LG53" s="14"/>
      <c r="LH53" s="14"/>
      <c r="LI53" s="14"/>
      <c r="LJ53" s="14"/>
      <c r="LK53" s="14"/>
      <c r="LL53" s="14"/>
      <c r="LM53" s="14"/>
      <c r="LN53" s="14"/>
      <c r="LO53" s="14"/>
      <c r="LP53" s="14"/>
      <c r="LQ53" s="14"/>
      <c r="LR53" s="14"/>
      <c r="LS53" s="14"/>
      <c r="LT53" s="14"/>
      <c r="LU53" s="14"/>
      <c r="LV53" s="14"/>
      <c r="LW53" s="14"/>
      <c r="LX53" s="14"/>
      <c r="LY53" s="14"/>
      <c r="LZ53" s="14"/>
      <c r="MA53" s="14"/>
      <c r="MB53" s="14"/>
      <c r="MC53" s="14"/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/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/>
      <c r="NB53" s="14"/>
      <c r="NC53" s="14"/>
      <c r="ND53" s="14"/>
      <c r="NE53" s="14"/>
      <c r="NF53" s="14"/>
      <c r="NG53" s="14"/>
      <c r="NH53" s="14"/>
      <c r="NI53" s="33"/>
      <c r="NK53" s="39"/>
      <c r="NL53" s="48"/>
      <c r="NN53" s="76" t="str" cm="1">
        <f t="array" aca="1" ref="NN53" ca="1">IF(SUMPRODUCT((OFFSET($A53,0,31*($A$9-1)+1,1,31)&lt;&gt;"")*(IF(OFFSET($A53,0,31*($A$9-1)+1,1,31)=$NL$9,0.5,IF(OFFSET($A53,0,31*($A$9-1)+1,1,31)=$NL$8,0,1))*(OFFSET($A$9,0,31*($A$9-1)+1,1,31))))=0,"",SUMPRODUCT((OFFSET($A53,0,31*($A$9-1)+1,1,31)&lt;&gt;"")*(IF(OFFSET($A53,0,31*($A$9-1)+1,1,31)=$NL$9,0.5,IF(OFFSET($A53,0,31*($A$9-1)+1,1,31)=$NL$8,0,1))*(OFFSET($A$9,0,31*($A$9-1)+1,1,31)))))</f>
        <v/>
      </c>
      <c r="NO53" s="77" t="str" cm="1">
        <f t="array" aca="1" ref="NO53" ca="1">IF(SUMPRODUCT((OFFSET($A53,0,1,1,372)&lt;&gt;"")*(IF(OFFSET($A53,0,1,1,372)=$NL$9,0.5,IF(OFFSET($A53,0,1,1,372)=$NL$8,0,1))*(OFFSET($A$9,0,1,1,372))))=0,"",SUMPRODUCT((OFFSET($A53,0,1,1,372)&lt;&gt;"")*(IF(OFFSET($A53,0,1,1,372)=$NL$9,0.5,IF(OFFSET($A53,0,1,1,372)=$NL$8,0,1))*(OFFSET($A$9,0,1,1,372)))))</f>
        <v/>
      </c>
      <c r="NP53" s="46"/>
      <c r="NQ53" s="75" t="str">
        <f t="array" aca="1" ref="NQ53" ca="1">IF(SUMPRODUCT((OFFSET($A53,0,1,1,372)&lt;&gt;"")*(OFFSET($A$9,0,1,1,372))*((OFFSET($A53,0,1,1,372))=NL$5))=0,"",SUMPRODUCT((OFFSET($A53,0,1,1,372)&lt;&gt;"")*(OFFSET($A$9,0,1,1,372))*((OFFSET($A53,0,1,1,372))=NL$5)))</f>
        <v/>
      </c>
      <c r="NR53" s="75" t="str">
        <f t="array" aca="1" ref="NR53" ca="1">IF(SUMPRODUCT((OFFSET($A53,0,1,1,372)&lt;&gt;"")*(OFFSET($A$9,0,1,1,372))*((OFFSET($A53,0,1,1,372))=NL$6))=0,"",SUMPRODUCT((OFFSET($A53,0,1,1,372)&lt;&gt;"")*(OFFSET($A$9,0,1,1,372))*((OFFSET($A53,0,1,1,372))=NL$6)))</f>
        <v/>
      </c>
      <c r="NS53" s="75" t="str">
        <f t="array" aca="1" ref="NS53" ca="1">IF(SUMPRODUCT((OFFSET($A53,0,1,1,372)&lt;&gt;"")*(OFFSET($A$9,0,1,1,372))*((OFFSET($A53,0,1,1,372))=NL$7))=0,"",SUMPRODUCT((OFFSET($A53,0,1,1,372)&lt;&gt;"")*(OFFSET($A$9,0,1,1,372))*((OFFSET($A53,0,1,1,372))=NL$7)))</f>
        <v/>
      </c>
      <c r="NT53" s="75" t="str" cm="1">
        <f t="array" aca="1" ref="NT53" ca="1">IF(SUMPRODUCT((OFFSET($A53,0,1,1,372)&lt;&gt;"")*(OFFSET($A$9,0,1,1,372))*((OFFSET($A53,0,1,1,372))=NL$9))=0,"",SUMPRODUCT((OFFSET($A53,0,1,1,372)&lt;&gt;"")*(OFFSET($A$9,0,1,1,372))*((OFFSET($A53,0,1,1,372))=NL$9)))</f>
        <v/>
      </c>
    </row>
    <row r="54" spans="1:384" ht="15.5" x14ac:dyDescent="0.35">
      <c r="A54" s="3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  <c r="KI54" s="14"/>
      <c r="KJ54" s="14"/>
      <c r="KK54" s="14"/>
      <c r="KL54" s="14"/>
      <c r="KM54" s="14"/>
      <c r="KN54" s="14"/>
      <c r="KO54" s="14"/>
      <c r="KP54" s="14"/>
      <c r="KQ54" s="14"/>
      <c r="KR54" s="14"/>
      <c r="KS54" s="14"/>
      <c r="KT54" s="14"/>
      <c r="KU54" s="14"/>
      <c r="KV54" s="14"/>
      <c r="KW54" s="14"/>
      <c r="KX54" s="14"/>
      <c r="KY54" s="14"/>
      <c r="KZ54" s="14"/>
      <c r="LA54" s="14"/>
      <c r="LB54" s="14"/>
      <c r="LC54" s="14"/>
      <c r="LD54" s="14"/>
      <c r="LE54" s="14"/>
      <c r="LF54" s="14"/>
      <c r="LG54" s="14"/>
      <c r="LH54" s="14"/>
      <c r="LI54" s="14"/>
      <c r="LJ54" s="14"/>
      <c r="LK54" s="14"/>
      <c r="LL54" s="14"/>
      <c r="LM54" s="14"/>
      <c r="LN54" s="14"/>
      <c r="LO54" s="14"/>
      <c r="LP54" s="14"/>
      <c r="LQ54" s="14"/>
      <c r="LR54" s="14"/>
      <c r="LS54" s="14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33"/>
      <c r="NK54" s="39"/>
      <c r="NL54" s="48"/>
      <c r="NN54" s="76" t="str" cm="1">
        <f t="array" aca="1" ref="NN54" ca="1">IF(SUMPRODUCT((OFFSET($A54,0,31*($A$9-1)+1,1,31)&lt;&gt;"")*(IF(OFFSET($A54,0,31*($A$9-1)+1,1,31)=$NL$9,0.5,IF(OFFSET($A54,0,31*($A$9-1)+1,1,31)=$NL$8,0,1))*(OFFSET($A$9,0,31*($A$9-1)+1,1,31))))=0,"",SUMPRODUCT((OFFSET($A54,0,31*($A$9-1)+1,1,31)&lt;&gt;"")*(IF(OFFSET($A54,0,31*($A$9-1)+1,1,31)=$NL$9,0.5,IF(OFFSET($A54,0,31*($A$9-1)+1,1,31)=$NL$8,0,1))*(OFFSET($A$9,0,31*($A$9-1)+1,1,31)))))</f>
        <v/>
      </c>
      <c r="NO54" s="77" t="str" cm="1">
        <f t="array" aca="1" ref="NO54" ca="1">IF(SUMPRODUCT((OFFSET($A54,0,1,1,372)&lt;&gt;"")*(IF(OFFSET($A54,0,1,1,372)=$NL$9,0.5,IF(OFFSET($A54,0,1,1,372)=$NL$8,0,1))*(OFFSET($A$9,0,1,1,372))))=0,"",SUMPRODUCT((OFFSET($A54,0,1,1,372)&lt;&gt;"")*(IF(OFFSET($A54,0,1,1,372)=$NL$9,0.5,IF(OFFSET($A54,0,1,1,372)=$NL$8,0,1))*(OFFSET($A$9,0,1,1,372)))))</f>
        <v/>
      </c>
      <c r="NP54" s="46"/>
      <c r="NQ54" s="75" t="str">
        <f t="array" aca="1" ref="NQ54" ca="1">IF(SUMPRODUCT((OFFSET($A54,0,1,1,372)&lt;&gt;"")*(OFFSET($A$9,0,1,1,372))*((OFFSET($A54,0,1,1,372))=NL$5))=0,"",SUMPRODUCT((OFFSET($A54,0,1,1,372)&lt;&gt;"")*(OFFSET($A$9,0,1,1,372))*((OFFSET($A54,0,1,1,372))=NL$5)))</f>
        <v/>
      </c>
      <c r="NR54" s="75" t="str">
        <f t="array" aca="1" ref="NR54" ca="1">IF(SUMPRODUCT((OFFSET($A54,0,1,1,372)&lt;&gt;"")*(OFFSET($A$9,0,1,1,372))*((OFFSET($A54,0,1,1,372))=NL$6))=0,"",SUMPRODUCT((OFFSET($A54,0,1,1,372)&lt;&gt;"")*(OFFSET($A$9,0,1,1,372))*((OFFSET($A54,0,1,1,372))=NL$6)))</f>
        <v/>
      </c>
      <c r="NS54" s="75" t="str">
        <f t="array" aca="1" ref="NS54" ca="1">IF(SUMPRODUCT((OFFSET($A54,0,1,1,372)&lt;&gt;"")*(OFFSET($A$9,0,1,1,372))*((OFFSET($A54,0,1,1,372))=NL$7))=0,"",SUMPRODUCT((OFFSET($A54,0,1,1,372)&lt;&gt;"")*(OFFSET($A$9,0,1,1,372))*((OFFSET($A54,0,1,1,372))=NL$7)))</f>
        <v/>
      </c>
      <c r="NT54" s="75" t="str" cm="1">
        <f t="array" aca="1" ref="NT54" ca="1">IF(SUMPRODUCT((OFFSET($A54,0,1,1,372)&lt;&gt;"")*(OFFSET($A$9,0,1,1,372))*((OFFSET($A54,0,1,1,372))=NL$9))=0,"",SUMPRODUCT((OFFSET($A54,0,1,1,372)&lt;&gt;"")*(OFFSET($A$9,0,1,1,372))*((OFFSET($A54,0,1,1,372))=NL$9)))</f>
        <v/>
      </c>
    </row>
    <row r="55" spans="1:384" ht="15.5" x14ac:dyDescent="0.35">
      <c r="A55" s="3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  <c r="KI55" s="14"/>
      <c r="KJ55" s="14"/>
      <c r="KK55" s="14"/>
      <c r="KL55" s="14"/>
      <c r="KM55" s="14"/>
      <c r="KN55" s="14"/>
      <c r="KO55" s="14"/>
      <c r="KP55" s="14"/>
      <c r="KQ55" s="14"/>
      <c r="KR55" s="14"/>
      <c r="KS55" s="14"/>
      <c r="KT55" s="14"/>
      <c r="KU55" s="14"/>
      <c r="KV55" s="14"/>
      <c r="KW55" s="14"/>
      <c r="KX55" s="14"/>
      <c r="KY55" s="14"/>
      <c r="KZ55" s="14"/>
      <c r="LA55" s="14"/>
      <c r="LB55" s="14"/>
      <c r="LC55" s="14"/>
      <c r="LD55" s="14"/>
      <c r="LE55" s="14"/>
      <c r="LF55" s="14"/>
      <c r="LG55" s="14"/>
      <c r="LH55" s="14"/>
      <c r="LI55" s="14"/>
      <c r="LJ55" s="14"/>
      <c r="LK55" s="14"/>
      <c r="LL55" s="14"/>
      <c r="LM55" s="14"/>
      <c r="LN55" s="14"/>
      <c r="LO55" s="14"/>
      <c r="LP55" s="14"/>
      <c r="LQ55" s="14"/>
      <c r="LR55" s="14"/>
      <c r="LS55" s="14"/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/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/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/>
      <c r="ND55" s="14"/>
      <c r="NE55" s="14"/>
      <c r="NF55" s="14"/>
      <c r="NG55" s="14"/>
      <c r="NH55" s="14"/>
      <c r="NI55" s="33"/>
      <c r="NK55" s="39"/>
      <c r="NL55" s="48"/>
      <c r="NN55" s="76" t="str" cm="1">
        <f t="array" aca="1" ref="NN55" ca="1">IF(SUMPRODUCT((OFFSET($A55,0,31*($A$9-1)+1,1,31)&lt;&gt;"")*(IF(OFFSET($A55,0,31*($A$9-1)+1,1,31)=$NL$9,0.5,IF(OFFSET($A55,0,31*($A$9-1)+1,1,31)=$NL$8,0,1))*(OFFSET($A$9,0,31*($A$9-1)+1,1,31))))=0,"",SUMPRODUCT((OFFSET($A55,0,31*($A$9-1)+1,1,31)&lt;&gt;"")*(IF(OFFSET($A55,0,31*($A$9-1)+1,1,31)=$NL$9,0.5,IF(OFFSET($A55,0,31*($A$9-1)+1,1,31)=$NL$8,0,1))*(OFFSET($A$9,0,31*($A$9-1)+1,1,31)))))</f>
        <v/>
      </c>
      <c r="NO55" s="77" t="str" cm="1">
        <f t="array" aca="1" ref="NO55" ca="1">IF(SUMPRODUCT((OFFSET($A55,0,1,1,372)&lt;&gt;"")*(IF(OFFSET($A55,0,1,1,372)=$NL$9,0.5,IF(OFFSET($A55,0,1,1,372)=$NL$8,0,1))*(OFFSET($A$9,0,1,1,372))))=0,"",SUMPRODUCT((OFFSET($A55,0,1,1,372)&lt;&gt;"")*(IF(OFFSET($A55,0,1,1,372)=$NL$9,0.5,IF(OFFSET($A55,0,1,1,372)=$NL$8,0,1))*(OFFSET($A$9,0,1,1,372)))))</f>
        <v/>
      </c>
      <c r="NP55" s="46"/>
      <c r="NQ55" s="75" t="str">
        <f t="array" aca="1" ref="NQ55" ca="1">IF(SUMPRODUCT((OFFSET($A55,0,1,1,372)&lt;&gt;"")*(OFFSET($A$9,0,1,1,372))*((OFFSET($A55,0,1,1,372))=NL$5))=0,"",SUMPRODUCT((OFFSET($A55,0,1,1,372)&lt;&gt;"")*(OFFSET($A$9,0,1,1,372))*((OFFSET($A55,0,1,1,372))=NL$5)))</f>
        <v/>
      </c>
      <c r="NR55" s="75" t="str">
        <f t="array" aca="1" ref="NR55" ca="1">IF(SUMPRODUCT((OFFSET($A55,0,1,1,372)&lt;&gt;"")*(OFFSET($A$9,0,1,1,372))*((OFFSET($A55,0,1,1,372))=NL$6))=0,"",SUMPRODUCT((OFFSET($A55,0,1,1,372)&lt;&gt;"")*(OFFSET($A$9,0,1,1,372))*((OFFSET($A55,0,1,1,372))=NL$6)))</f>
        <v/>
      </c>
      <c r="NS55" s="75" t="str">
        <f t="array" aca="1" ref="NS55" ca="1">IF(SUMPRODUCT((OFFSET($A55,0,1,1,372)&lt;&gt;"")*(OFFSET($A$9,0,1,1,372))*((OFFSET($A55,0,1,1,372))=NL$7))=0,"",SUMPRODUCT((OFFSET($A55,0,1,1,372)&lt;&gt;"")*(OFFSET($A$9,0,1,1,372))*((OFFSET($A55,0,1,1,372))=NL$7)))</f>
        <v/>
      </c>
      <c r="NT55" s="75" t="str" cm="1">
        <f t="array" aca="1" ref="NT55" ca="1">IF(SUMPRODUCT((OFFSET($A55,0,1,1,372)&lt;&gt;"")*(OFFSET($A$9,0,1,1,372))*((OFFSET($A55,0,1,1,372))=NL$9))=0,"",SUMPRODUCT((OFFSET($A55,0,1,1,372)&lt;&gt;"")*(OFFSET($A$9,0,1,1,372))*((OFFSET($A55,0,1,1,372))=NL$9)))</f>
        <v/>
      </c>
    </row>
    <row r="56" spans="1:384" ht="15.5" x14ac:dyDescent="0.35">
      <c r="A56" s="3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  <c r="KI56" s="14"/>
      <c r="KJ56" s="14"/>
      <c r="KK56" s="14"/>
      <c r="KL56" s="14"/>
      <c r="KM56" s="14"/>
      <c r="KN56" s="14"/>
      <c r="KO56" s="14"/>
      <c r="KP56" s="14"/>
      <c r="KQ56" s="14"/>
      <c r="KR56" s="14"/>
      <c r="KS56" s="14"/>
      <c r="KT56" s="14"/>
      <c r="KU56" s="14"/>
      <c r="KV56" s="14"/>
      <c r="KW56" s="14"/>
      <c r="KX56" s="14"/>
      <c r="KY56" s="14"/>
      <c r="KZ56" s="14"/>
      <c r="LA56" s="14"/>
      <c r="LB56" s="14"/>
      <c r="LC56" s="14"/>
      <c r="LD56" s="14"/>
      <c r="LE56" s="14"/>
      <c r="LF56" s="14"/>
      <c r="LG56" s="14"/>
      <c r="LH56" s="14"/>
      <c r="LI56" s="14"/>
      <c r="LJ56" s="14"/>
      <c r="LK56" s="14"/>
      <c r="LL56" s="14"/>
      <c r="LM56" s="14"/>
      <c r="LN56" s="14"/>
      <c r="LO56" s="14"/>
      <c r="LP56" s="14"/>
      <c r="LQ56" s="14"/>
      <c r="LR56" s="14"/>
      <c r="LS56" s="14"/>
      <c r="LT56" s="14"/>
      <c r="LU56" s="14"/>
      <c r="LV56" s="14"/>
      <c r="LW56" s="14"/>
      <c r="LX56" s="14"/>
      <c r="LY56" s="14"/>
      <c r="LZ56" s="14"/>
      <c r="MA56" s="14"/>
      <c r="MB56" s="14"/>
      <c r="MC56" s="14"/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/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/>
      <c r="NB56" s="14"/>
      <c r="NC56" s="14"/>
      <c r="ND56" s="14"/>
      <c r="NE56" s="14"/>
      <c r="NF56" s="14"/>
      <c r="NG56" s="14"/>
      <c r="NH56" s="14"/>
      <c r="NI56" s="33"/>
      <c r="NK56" s="39"/>
      <c r="NL56" s="48"/>
      <c r="NN56" s="76" t="str" cm="1">
        <f t="array" aca="1" ref="NN56" ca="1">IF(SUMPRODUCT((OFFSET($A56,0,31*($A$9-1)+1,1,31)&lt;&gt;"")*(IF(OFFSET($A56,0,31*($A$9-1)+1,1,31)=$NL$9,0.5,IF(OFFSET($A56,0,31*($A$9-1)+1,1,31)=$NL$8,0,1))*(OFFSET($A$9,0,31*($A$9-1)+1,1,31))))=0,"",SUMPRODUCT((OFFSET($A56,0,31*($A$9-1)+1,1,31)&lt;&gt;"")*(IF(OFFSET($A56,0,31*($A$9-1)+1,1,31)=$NL$9,0.5,IF(OFFSET($A56,0,31*($A$9-1)+1,1,31)=$NL$8,0,1))*(OFFSET($A$9,0,31*($A$9-1)+1,1,31)))))</f>
        <v/>
      </c>
      <c r="NO56" s="77" t="str" cm="1">
        <f t="array" aca="1" ref="NO56" ca="1">IF(SUMPRODUCT((OFFSET($A56,0,1,1,372)&lt;&gt;"")*(IF(OFFSET($A56,0,1,1,372)=$NL$9,0.5,IF(OFFSET($A56,0,1,1,372)=$NL$8,0,1))*(OFFSET($A$9,0,1,1,372))))=0,"",SUMPRODUCT((OFFSET($A56,0,1,1,372)&lt;&gt;"")*(IF(OFFSET($A56,0,1,1,372)=$NL$9,0.5,IF(OFFSET($A56,0,1,1,372)=$NL$8,0,1))*(OFFSET($A$9,0,1,1,372)))))</f>
        <v/>
      </c>
      <c r="NP56" s="46"/>
      <c r="NQ56" s="75" t="str">
        <f t="array" aca="1" ref="NQ56" ca="1">IF(SUMPRODUCT((OFFSET($A56,0,1,1,372)&lt;&gt;"")*(OFFSET($A$9,0,1,1,372))*((OFFSET($A56,0,1,1,372))=NL$5))=0,"",SUMPRODUCT((OFFSET($A56,0,1,1,372)&lt;&gt;"")*(OFFSET($A$9,0,1,1,372))*((OFFSET($A56,0,1,1,372))=NL$5)))</f>
        <v/>
      </c>
      <c r="NR56" s="75" t="str">
        <f t="array" aca="1" ref="NR56" ca="1">IF(SUMPRODUCT((OFFSET($A56,0,1,1,372)&lt;&gt;"")*(OFFSET($A$9,0,1,1,372))*((OFFSET($A56,0,1,1,372))=NL$6))=0,"",SUMPRODUCT((OFFSET($A56,0,1,1,372)&lt;&gt;"")*(OFFSET($A$9,0,1,1,372))*((OFFSET($A56,0,1,1,372))=NL$6)))</f>
        <v/>
      </c>
      <c r="NS56" s="75" t="str">
        <f t="array" aca="1" ref="NS56" ca="1">IF(SUMPRODUCT((OFFSET($A56,0,1,1,372)&lt;&gt;"")*(OFFSET($A$9,0,1,1,372))*((OFFSET($A56,0,1,1,372))=NL$7))=0,"",SUMPRODUCT((OFFSET($A56,0,1,1,372)&lt;&gt;"")*(OFFSET($A$9,0,1,1,372))*((OFFSET($A56,0,1,1,372))=NL$7)))</f>
        <v/>
      </c>
      <c r="NT56" s="75" t="str" cm="1">
        <f t="array" aca="1" ref="NT56" ca="1">IF(SUMPRODUCT((OFFSET($A56,0,1,1,372)&lt;&gt;"")*(OFFSET($A$9,0,1,1,372))*((OFFSET($A56,0,1,1,372))=NL$9))=0,"",SUMPRODUCT((OFFSET($A56,0,1,1,372)&lt;&gt;"")*(OFFSET($A$9,0,1,1,372))*((OFFSET($A56,0,1,1,372))=NL$9)))</f>
        <v/>
      </c>
    </row>
    <row r="57" spans="1:384" ht="15.5" x14ac:dyDescent="0.35">
      <c r="A57" s="3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  <c r="KI57" s="14"/>
      <c r="KJ57" s="14"/>
      <c r="KK57" s="14"/>
      <c r="KL57" s="14"/>
      <c r="KM57" s="14"/>
      <c r="KN57" s="14"/>
      <c r="KO57" s="14"/>
      <c r="KP57" s="14"/>
      <c r="KQ57" s="14"/>
      <c r="KR57" s="14"/>
      <c r="KS57" s="14"/>
      <c r="KT57" s="14"/>
      <c r="KU57" s="14"/>
      <c r="KV57" s="14"/>
      <c r="KW57" s="14"/>
      <c r="KX57" s="14"/>
      <c r="KY57" s="14"/>
      <c r="KZ57" s="14"/>
      <c r="LA57" s="14"/>
      <c r="LB57" s="14"/>
      <c r="LC57" s="14"/>
      <c r="LD57" s="14"/>
      <c r="LE57" s="14"/>
      <c r="LF57" s="14"/>
      <c r="LG57" s="14"/>
      <c r="LH57" s="14"/>
      <c r="LI57" s="14"/>
      <c r="LJ57" s="14"/>
      <c r="LK57" s="14"/>
      <c r="LL57" s="14"/>
      <c r="LM57" s="14"/>
      <c r="LN57" s="14"/>
      <c r="LO57" s="14"/>
      <c r="LP57" s="14"/>
      <c r="LQ57" s="14"/>
      <c r="LR57" s="14"/>
      <c r="LS57" s="14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33"/>
      <c r="NK57" s="39"/>
      <c r="NL57" s="48"/>
      <c r="NN57" s="76" t="str" cm="1">
        <f t="array" aca="1" ref="NN57" ca="1">IF(SUMPRODUCT((OFFSET($A57,0,31*($A$9-1)+1,1,31)&lt;&gt;"")*(IF(OFFSET($A57,0,31*($A$9-1)+1,1,31)=$NL$9,0.5,IF(OFFSET($A57,0,31*($A$9-1)+1,1,31)=$NL$8,0,1))*(OFFSET($A$9,0,31*($A$9-1)+1,1,31))))=0,"",SUMPRODUCT((OFFSET($A57,0,31*($A$9-1)+1,1,31)&lt;&gt;"")*(IF(OFFSET($A57,0,31*($A$9-1)+1,1,31)=$NL$9,0.5,IF(OFFSET($A57,0,31*($A$9-1)+1,1,31)=$NL$8,0,1))*(OFFSET($A$9,0,31*($A$9-1)+1,1,31)))))</f>
        <v/>
      </c>
      <c r="NO57" s="77" t="str" cm="1">
        <f t="array" aca="1" ref="NO57" ca="1">IF(SUMPRODUCT((OFFSET($A57,0,1,1,372)&lt;&gt;"")*(IF(OFFSET($A57,0,1,1,372)=$NL$9,0.5,IF(OFFSET($A57,0,1,1,372)=$NL$8,0,1))*(OFFSET($A$9,0,1,1,372))))=0,"",SUMPRODUCT((OFFSET($A57,0,1,1,372)&lt;&gt;"")*(IF(OFFSET($A57,0,1,1,372)=$NL$9,0.5,IF(OFFSET($A57,0,1,1,372)=$NL$8,0,1))*(OFFSET($A$9,0,1,1,372)))))</f>
        <v/>
      </c>
      <c r="NP57" s="46"/>
      <c r="NQ57" s="75" t="str">
        <f t="array" aca="1" ref="NQ57" ca="1">IF(SUMPRODUCT((OFFSET($A57,0,1,1,372)&lt;&gt;"")*(OFFSET($A$9,0,1,1,372))*((OFFSET($A57,0,1,1,372))=NL$5))=0,"",SUMPRODUCT((OFFSET($A57,0,1,1,372)&lt;&gt;"")*(OFFSET($A$9,0,1,1,372))*((OFFSET($A57,0,1,1,372))=NL$5)))</f>
        <v/>
      </c>
      <c r="NR57" s="75" t="str">
        <f t="array" aca="1" ref="NR57" ca="1">IF(SUMPRODUCT((OFFSET($A57,0,1,1,372)&lt;&gt;"")*(OFFSET($A$9,0,1,1,372))*((OFFSET($A57,0,1,1,372))=NL$6))=0,"",SUMPRODUCT((OFFSET($A57,0,1,1,372)&lt;&gt;"")*(OFFSET($A$9,0,1,1,372))*((OFFSET($A57,0,1,1,372))=NL$6)))</f>
        <v/>
      </c>
      <c r="NS57" s="75" t="str">
        <f t="array" aca="1" ref="NS57" ca="1">IF(SUMPRODUCT((OFFSET($A57,0,1,1,372)&lt;&gt;"")*(OFFSET($A$9,0,1,1,372))*((OFFSET($A57,0,1,1,372))=NL$7))=0,"",SUMPRODUCT((OFFSET($A57,0,1,1,372)&lt;&gt;"")*(OFFSET($A$9,0,1,1,372))*((OFFSET($A57,0,1,1,372))=NL$7)))</f>
        <v/>
      </c>
      <c r="NT57" s="75" t="str" cm="1">
        <f t="array" aca="1" ref="NT57" ca="1">IF(SUMPRODUCT((OFFSET($A57,0,1,1,372)&lt;&gt;"")*(OFFSET($A$9,0,1,1,372))*((OFFSET($A57,0,1,1,372))=NL$9))=0,"",SUMPRODUCT((OFFSET($A57,0,1,1,372)&lt;&gt;"")*(OFFSET($A$9,0,1,1,372))*((OFFSET($A57,0,1,1,372))=NL$9)))</f>
        <v/>
      </c>
    </row>
    <row r="58" spans="1:384" ht="15.5" x14ac:dyDescent="0.35">
      <c r="A58" s="3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  <c r="KI58" s="14"/>
      <c r="KJ58" s="14"/>
      <c r="KK58" s="14"/>
      <c r="KL58" s="14"/>
      <c r="KM58" s="14"/>
      <c r="KN58" s="14"/>
      <c r="KO58" s="14"/>
      <c r="KP58" s="14"/>
      <c r="KQ58" s="14"/>
      <c r="KR58" s="14"/>
      <c r="KS58" s="14"/>
      <c r="KT58" s="14"/>
      <c r="KU58" s="14"/>
      <c r="KV58" s="14"/>
      <c r="KW58" s="14"/>
      <c r="KX58" s="14"/>
      <c r="KY58" s="14"/>
      <c r="KZ58" s="14"/>
      <c r="LA58" s="14"/>
      <c r="LB58" s="14"/>
      <c r="LC58" s="14"/>
      <c r="LD58" s="14"/>
      <c r="LE58" s="14"/>
      <c r="LF58" s="14"/>
      <c r="LG58" s="14"/>
      <c r="LH58" s="14"/>
      <c r="LI58" s="14"/>
      <c r="LJ58" s="14"/>
      <c r="LK58" s="14"/>
      <c r="LL58" s="14"/>
      <c r="LM58" s="14"/>
      <c r="LN58" s="14"/>
      <c r="LO58" s="14"/>
      <c r="LP58" s="14"/>
      <c r="LQ58" s="14"/>
      <c r="LR58" s="14"/>
      <c r="LS58" s="14"/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/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/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/>
      <c r="ND58" s="14"/>
      <c r="NE58" s="14"/>
      <c r="NF58" s="14"/>
      <c r="NG58" s="14"/>
      <c r="NH58" s="14"/>
      <c r="NI58" s="33"/>
      <c r="NK58" s="39"/>
      <c r="NL58" s="48"/>
      <c r="NN58" s="76" t="str" cm="1">
        <f t="array" aca="1" ref="NN58" ca="1">IF(SUMPRODUCT((OFFSET($A58,0,31*($A$9-1)+1,1,31)&lt;&gt;"")*(IF(OFFSET($A58,0,31*($A$9-1)+1,1,31)=$NL$9,0.5,IF(OFFSET($A58,0,31*($A$9-1)+1,1,31)=$NL$8,0,1))*(OFFSET($A$9,0,31*($A$9-1)+1,1,31))))=0,"",SUMPRODUCT((OFFSET($A58,0,31*($A$9-1)+1,1,31)&lt;&gt;"")*(IF(OFFSET($A58,0,31*($A$9-1)+1,1,31)=$NL$9,0.5,IF(OFFSET($A58,0,31*($A$9-1)+1,1,31)=$NL$8,0,1))*(OFFSET($A$9,0,31*($A$9-1)+1,1,31)))))</f>
        <v/>
      </c>
      <c r="NO58" s="77" t="str" cm="1">
        <f t="array" aca="1" ref="NO58" ca="1">IF(SUMPRODUCT((OFFSET($A58,0,1,1,372)&lt;&gt;"")*(IF(OFFSET($A58,0,1,1,372)=$NL$9,0.5,IF(OFFSET($A58,0,1,1,372)=$NL$8,0,1))*(OFFSET($A$9,0,1,1,372))))=0,"",SUMPRODUCT((OFFSET($A58,0,1,1,372)&lt;&gt;"")*(IF(OFFSET($A58,0,1,1,372)=$NL$9,0.5,IF(OFFSET($A58,0,1,1,372)=$NL$8,0,1))*(OFFSET($A$9,0,1,1,372)))))</f>
        <v/>
      </c>
      <c r="NP58" s="46"/>
      <c r="NQ58" s="75" t="str">
        <f t="array" aca="1" ref="NQ58" ca="1">IF(SUMPRODUCT((OFFSET($A58,0,1,1,372)&lt;&gt;"")*(OFFSET($A$9,0,1,1,372))*((OFFSET($A58,0,1,1,372))=NL$5))=0,"",SUMPRODUCT((OFFSET($A58,0,1,1,372)&lt;&gt;"")*(OFFSET($A$9,0,1,1,372))*((OFFSET($A58,0,1,1,372))=NL$5)))</f>
        <v/>
      </c>
      <c r="NR58" s="75" t="str">
        <f t="array" aca="1" ref="NR58" ca="1">IF(SUMPRODUCT((OFFSET($A58,0,1,1,372)&lt;&gt;"")*(OFFSET($A$9,0,1,1,372))*((OFFSET($A58,0,1,1,372))=NL$6))=0,"",SUMPRODUCT((OFFSET($A58,0,1,1,372)&lt;&gt;"")*(OFFSET($A$9,0,1,1,372))*((OFFSET($A58,0,1,1,372))=NL$6)))</f>
        <v/>
      </c>
      <c r="NS58" s="75" t="str">
        <f t="array" aca="1" ref="NS58" ca="1">IF(SUMPRODUCT((OFFSET($A58,0,1,1,372)&lt;&gt;"")*(OFFSET($A$9,0,1,1,372))*((OFFSET($A58,0,1,1,372))=NL$7))=0,"",SUMPRODUCT((OFFSET($A58,0,1,1,372)&lt;&gt;"")*(OFFSET($A$9,0,1,1,372))*((OFFSET($A58,0,1,1,372))=NL$7)))</f>
        <v/>
      </c>
      <c r="NT58" s="75" t="str" cm="1">
        <f t="array" aca="1" ref="NT58" ca="1">IF(SUMPRODUCT((OFFSET($A58,0,1,1,372)&lt;&gt;"")*(OFFSET($A$9,0,1,1,372))*((OFFSET($A58,0,1,1,372))=NL$9))=0,"",SUMPRODUCT((OFFSET($A58,0,1,1,372)&lt;&gt;"")*(OFFSET($A$9,0,1,1,372))*((OFFSET($A58,0,1,1,372))=NL$9)))</f>
        <v/>
      </c>
    </row>
    <row r="59" spans="1:384" ht="15.5" x14ac:dyDescent="0.35">
      <c r="A59" s="15" t="s">
        <v>32</v>
      </c>
      <c r="B59" s="15" t="s">
        <v>32</v>
      </c>
      <c r="C59" s="15" t="s">
        <v>32</v>
      </c>
      <c r="D59" s="15" t="s">
        <v>32</v>
      </c>
      <c r="E59" s="15" t="s">
        <v>32</v>
      </c>
      <c r="F59" s="15" t="s">
        <v>32</v>
      </c>
      <c r="G59" s="15" t="s">
        <v>32</v>
      </c>
      <c r="H59" s="15" t="s">
        <v>32</v>
      </c>
      <c r="I59" s="15" t="s">
        <v>32</v>
      </c>
      <c r="J59" s="15" t="s">
        <v>32</v>
      </c>
      <c r="K59" s="15" t="s">
        <v>32</v>
      </c>
      <c r="L59" s="15" t="s">
        <v>32</v>
      </c>
      <c r="M59" s="15" t="s">
        <v>32</v>
      </c>
      <c r="N59" s="15" t="s">
        <v>32</v>
      </c>
      <c r="O59" s="15" t="s">
        <v>32</v>
      </c>
      <c r="P59" s="15" t="s">
        <v>32</v>
      </c>
      <c r="Q59" s="15" t="s">
        <v>32</v>
      </c>
      <c r="R59" s="15" t="s">
        <v>32</v>
      </c>
      <c r="S59" s="15" t="s">
        <v>32</v>
      </c>
      <c r="T59" s="15" t="s">
        <v>32</v>
      </c>
      <c r="U59" s="15" t="s">
        <v>32</v>
      </c>
      <c r="V59" s="15" t="s">
        <v>32</v>
      </c>
      <c r="W59" s="15" t="s">
        <v>32</v>
      </c>
      <c r="X59" s="15" t="s">
        <v>32</v>
      </c>
      <c r="Y59" s="15" t="s">
        <v>32</v>
      </c>
      <c r="Z59" s="15" t="s">
        <v>32</v>
      </c>
      <c r="AA59" s="15" t="s">
        <v>32</v>
      </c>
      <c r="AB59" s="15" t="s">
        <v>32</v>
      </c>
      <c r="AC59" s="15" t="s">
        <v>32</v>
      </c>
      <c r="AD59" s="15" t="s">
        <v>32</v>
      </c>
      <c r="AE59" s="15" t="s">
        <v>32</v>
      </c>
      <c r="AF59" s="15" t="s">
        <v>32</v>
      </c>
      <c r="AG59" s="15" t="s">
        <v>32</v>
      </c>
      <c r="AH59" s="15" t="s">
        <v>32</v>
      </c>
      <c r="AI59" s="15" t="s">
        <v>32</v>
      </c>
      <c r="AJ59" s="15" t="s">
        <v>32</v>
      </c>
      <c r="AK59" s="15" t="s">
        <v>32</v>
      </c>
      <c r="AL59" s="15" t="s">
        <v>32</v>
      </c>
      <c r="AM59" s="15" t="s">
        <v>32</v>
      </c>
      <c r="AN59" s="15" t="s">
        <v>32</v>
      </c>
      <c r="AO59" s="15" t="s">
        <v>32</v>
      </c>
      <c r="AP59" s="15" t="s">
        <v>32</v>
      </c>
      <c r="AQ59" s="15" t="s">
        <v>32</v>
      </c>
      <c r="AR59" s="15" t="s">
        <v>32</v>
      </c>
      <c r="AS59" s="15" t="s">
        <v>32</v>
      </c>
      <c r="AT59" s="15" t="s">
        <v>32</v>
      </c>
      <c r="AU59" s="15" t="s">
        <v>32</v>
      </c>
      <c r="AV59" s="15" t="s">
        <v>32</v>
      </c>
      <c r="AW59" s="15" t="s">
        <v>32</v>
      </c>
      <c r="AX59" s="15" t="s">
        <v>32</v>
      </c>
      <c r="AY59" s="15" t="s">
        <v>32</v>
      </c>
      <c r="AZ59" s="15" t="s">
        <v>32</v>
      </c>
      <c r="BA59" s="15" t="s">
        <v>32</v>
      </c>
      <c r="BB59" s="15" t="s">
        <v>32</v>
      </c>
      <c r="BC59" s="15" t="s">
        <v>32</v>
      </c>
      <c r="BD59" s="15" t="s">
        <v>32</v>
      </c>
      <c r="BE59" s="15" t="s">
        <v>32</v>
      </c>
      <c r="BF59" s="15" t="s">
        <v>32</v>
      </c>
      <c r="BG59" s="15" t="s">
        <v>32</v>
      </c>
      <c r="BH59" s="15" t="s">
        <v>32</v>
      </c>
      <c r="BI59" s="15" t="s">
        <v>32</v>
      </c>
      <c r="BJ59" s="15" t="s">
        <v>32</v>
      </c>
      <c r="BK59" s="15" t="s">
        <v>32</v>
      </c>
      <c r="BL59" s="15" t="s">
        <v>32</v>
      </c>
      <c r="BM59" s="15" t="s">
        <v>32</v>
      </c>
      <c r="BN59" s="15" t="s">
        <v>32</v>
      </c>
      <c r="BO59" s="15" t="s">
        <v>32</v>
      </c>
      <c r="BP59" s="15" t="s">
        <v>32</v>
      </c>
      <c r="BQ59" s="15" t="s">
        <v>32</v>
      </c>
      <c r="BR59" s="15" t="s">
        <v>32</v>
      </c>
      <c r="BS59" s="15" t="s">
        <v>32</v>
      </c>
      <c r="BT59" s="15" t="s">
        <v>32</v>
      </c>
      <c r="BU59" s="15" t="s">
        <v>32</v>
      </c>
      <c r="BV59" s="15" t="s">
        <v>32</v>
      </c>
      <c r="BW59" s="15" t="s">
        <v>32</v>
      </c>
      <c r="BX59" s="15" t="s">
        <v>32</v>
      </c>
      <c r="BY59" s="15" t="s">
        <v>32</v>
      </c>
      <c r="BZ59" s="15" t="s">
        <v>32</v>
      </c>
      <c r="CA59" s="15" t="s">
        <v>32</v>
      </c>
      <c r="CB59" s="15" t="s">
        <v>32</v>
      </c>
      <c r="CC59" s="15" t="s">
        <v>32</v>
      </c>
      <c r="CD59" s="15" t="s">
        <v>32</v>
      </c>
      <c r="CE59" s="15" t="s">
        <v>32</v>
      </c>
      <c r="CF59" s="15" t="s">
        <v>32</v>
      </c>
      <c r="CG59" s="15" t="s">
        <v>32</v>
      </c>
      <c r="CH59" s="15" t="s">
        <v>32</v>
      </c>
      <c r="CI59" s="15" t="s">
        <v>32</v>
      </c>
      <c r="CJ59" s="15" t="s">
        <v>32</v>
      </c>
      <c r="CK59" s="15" t="s">
        <v>32</v>
      </c>
      <c r="CL59" s="15" t="s">
        <v>32</v>
      </c>
      <c r="CM59" s="15" t="s">
        <v>32</v>
      </c>
      <c r="CN59" s="15" t="s">
        <v>32</v>
      </c>
      <c r="CO59" s="15" t="s">
        <v>32</v>
      </c>
      <c r="CP59" s="15" t="s">
        <v>32</v>
      </c>
      <c r="CQ59" s="15" t="s">
        <v>32</v>
      </c>
      <c r="CR59" s="15" t="s">
        <v>32</v>
      </c>
      <c r="CS59" s="15" t="s">
        <v>32</v>
      </c>
      <c r="CT59" s="15" t="s">
        <v>32</v>
      </c>
      <c r="CU59" s="15" t="s">
        <v>32</v>
      </c>
      <c r="CV59" s="15" t="s">
        <v>32</v>
      </c>
      <c r="CW59" s="15" t="s">
        <v>32</v>
      </c>
      <c r="CX59" s="15" t="s">
        <v>32</v>
      </c>
      <c r="CY59" s="15" t="s">
        <v>32</v>
      </c>
      <c r="CZ59" s="15" t="s">
        <v>32</v>
      </c>
      <c r="DA59" s="15" t="s">
        <v>32</v>
      </c>
      <c r="DB59" s="15" t="s">
        <v>32</v>
      </c>
      <c r="DC59" s="15" t="s">
        <v>32</v>
      </c>
      <c r="DD59" s="15" t="s">
        <v>32</v>
      </c>
      <c r="DE59" s="15" t="s">
        <v>32</v>
      </c>
      <c r="DF59" s="15" t="s">
        <v>32</v>
      </c>
      <c r="DG59" s="15" t="s">
        <v>32</v>
      </c>
      <c r="DH59" s="15" t="s">
        <v>32</v>
      </c>
      <c r="DI59" s="15" t="s">
        <v>32</v>
      </c>
      <c r="DJ59" s="15" t="s">
        <v>32</v>
      </c>
      <c r="DK59" s="15" t="s">
        <v>32</v>
      </c>
      <c r="DL59" s="15" t="s">
        <v>32</v>
      </c>
      <c r="DM59" s="15" t="s">
        <v>32</v>
      </c>
      <c r="DN59" s="15" t="s">
        <v>32</v>
      </c>
      <c r="DO59" s="15" t="s">
        <v>32</v>
      </c>
      <c r="DP59" s="15" t="s">
        <v>32</v>
      </c>
      <c r="DQ59" s="15" t="s">
        <v>32</v>
      </c>
      <c r="DR59" s="15" t="s">
        <v>32</v>
      </c>
      <c r="DS59" s="15" t="s">
        <v>32</v>
      </c>
      <c r="DT59" s="15" t="s">
        <v>32</v>
      </c>
      <c r="DU59" s="15" t="s">
        <v>32</v>
      </c>
      <c r="DV59" s="15" t="s">
        <v>32</v>
      </c>
      <c r="DW59" s="15" t="s">
        <v>32</v>
      </c>
      <c r="DX59" s="15" t="s">
        <v>32</v>
      </c>
      <c r="DY59" s="15" t="s">
        <v>32</v>
      </c>
      <c r="DZ59" s="15" t="s">
        <v>32</v>
      </c>
      <c r="EA59" s="15" t="s">
        <v>32</v>
      </c>
      <c r="EB59" s="15" t="s">
        <v>32</v>
      </c>
      <c r="EC59" s="15" t="s">
        <v>32</v>
      </c>
      <c r="ED59" s="15" t="s">
        <v>32</v>
      </c>
      <c r="EE59" s="15" t="s">
        <v>32</v>
      </c>
      <c r="EF59" s="15" t="s">
        <v>32</v>
      </c>
      <c r="EG59" s="15" t="s">
        <v>32</v>
      </c>
      <c r="EH59" s="15" t="s">
        <v>32</v>
      </c>
      <c r="EI59" s="15" t="s">
        <v>32</v>
      </c>
      <c r="EJ59" s="15" t="s">
        <v>32</v>
      </c>
      <c r="EK59" s="15" t="s">
        <v>32</v>
      </c>
      <c r="EL59" s="15" t="s">
        <v>32</v>
      </c>
      <c r="EM59" s="15" t="s">
        <v>32</v>
      </c>
      <c r="EN59" s="15" t="s">
        <v>32</v>
      </c>
      <c r="EO59" s="15" t="s">
        <v>32</v>
      </c>
      <c r="EP59" s="15" t="s">
        <v>32</v>
      </c>
      <c r="EQ59" s="15" t="s">
        <v>32</v>
      </c>
      <c r="ER59" s="15" t="s">
        <v>32</v>
      </c>
      <c r="ES59" s="15" t="s">
        <v>32</v>
      </c>
      <c r="ET59" s="15" t="s">
        <v>32</v>
      </c>
      <c r="EU59" s="15" t="s">
        <v>32</v>
      </c>
      <c r="EV59" s="15" t="s">
        <v>32</v>
      </c>
      <c r="EW59" s="15" t="s">
        <v>32</v>
      </c>
      <c r="EX59" s="15" t="s">
        <v>32</v>
      </c>
      <c r="EY59" s="15" t="s">
        <v>32</v>
      </c>
      <c r="EZ59" s="15" t="s">
        <v>32</v>
      </c>
      <c r="FA59" s="15" t="s">
        <v>32</v>
      </c>
      <c r="FB59" s="15" t="s">
        <v>32</v>
      </c>
      <c r="FC59" s="15" t="s">
        <v>32</v>
      </c>
      <c r="FD59" s="15" t="s">
        <v>32</v>
      </c>
      <c r="FE59" s="15" t="s">
        <v>32</v>
      </c>
      <c r="FF59" s="15" t="s">
        <v>32</v>
      </c>
      <c r="FG59" s="15" t="s">
        <v>32</v>
      </c>
      <c r="FH59" s="15" t="s">
        <v>32</v>
      </c>
      <c r="FI59" s="15" t="s">
        <v>32</v>
      </c>
      <c r="FJ59" s="15" t="s">
        <v>32</v>
      </c>
      <c r="FK59" s="15" t="s">
        <v>32</v>
      </c>
      <c r="FL59" s="15" t="s">
        <v>32</v>
      </c>
      <c r="FM59" s="15" t="s">
        <v>32</v>
      </c>
      <c r="FN59" s="15" t="s">
        <v>32</v>
      </c>
      <c r="FO59" s="15" t="s">
        <v>32</v>
      </c>
      <c r="FP59" s="15" t="s">
        <v>32</v>
      </c>
      <c r="FQ59" s="15" t="s">
        <v>32</v>
      </c>
      <c r="FR59" s="15" t="s">
        <v>32</v>
      </c>
      <c r="FS59" s="15" t="s">
        <v>32</v>
      </c>
      <c r="FT59" s="15" t="s">
        <v>32</v>
      </c>
      <c r="FU59" s="15" t="s">
        <v>32</v>
      </c>
      <c r="FV59" s="15" t="s">
        <v>32</v>
      </c>
      <c r="FW59" s="15" t="s">
        <v>32</v>
      </c>
      <c r="FX59" s="15" t="s">
        <v>32</v>
      </c>
      <c r="FY59" s="15" t="s">
        <v>32</v>
      </c>
      <c r="FZ59" s="15" t="s">
        <v>32</v>
      </c>
      <c r="GA59" s="15" t="s">
        <v>32</v>
      </c>
      <c r="GB59" s="15" t="s">
        <v>32</v>
      </c>
      <c r="GC59" s="15" t="s">
        <v>32</v>
      </c>
      <c r="GD59" s="15" t="s">
        <v>32</v>
      </c>
      <c r="GE59" s="15" t="s">
        <v>32</v>
      </c>
      <c r="GF59" s="15" t="s">
        <v>32</v>
      </c>
      <c r="GG59" s="15" t="s">
        <v>32</v>
      </c>
      <c r="GH59" s="15" t="s">
        <v>32</v>
      </c>
      <c r="GI59" s="15" t="s">
        <v>32</v>
      </c>
      <c r="GJ59" s="15" t="s">
        <v>32</v>
      </c>
      <c r="GK59" s="15" t="s">
        <v>32</v>
      </c>
      <c r="GL59" s="15" t="s">
        <v>32</v>
      </c>
      <c r="GM59" s="15" t="s">
        <v>32</v>
      </c>
      <c r="GN59" s="15" t="s">
        <v>32</v>
      </c>
      <c r="GO59" s="15" t="s">
        <v>32</v>
      </c>
      <c r="GP59" s="15" t="s">
        <v>32</v>
      </c>
      <c r="GQ59" s="15" t="s">
        <v>32</v>
      </c>
      <c r="GR59" s="15" t="s">
        <v>32</v>
      </c>
      <c r="GS59" s="15" t="s">
        <v>32</v>
      </c>
      <c r="GT59" s="15" t="s">
        <v>32</v>
      </c>
      <c r="GU59" s="15" t="s">
        <v>32</v>
      </c>
      <c r="GV59" s="15" t="s">
        <v>32</v>
      </c>
      <c r="GW59" s="15" t="s">
        <v>32</v>
      </c>
      <c r="GX59" s="15" t="s">
        <v>32</v>
      </c>
      <c r="GY59" s="15" t="s">
        <v>32</v>
      </c>
      <c r="GZ59" s="15" t="s">
        <v>32</v>
      </c>
      <c r="HA59" s="15" t="s">
        <v>32</v>
      </c>
      <c r="HB59" s="15" t="s">
        <v>32</v>
      </c>
      <c r="HC59" s="15" t="s">
        <v>32</v>
      </c>
      <c r="HD59" s="15" t="s">
        <v>32</v>
      </c>
      <c r="HE59" s="15" t="s">
        <v>32</v>
      </c>
      <c r="HF59" s="15" t="s">
        <v>32</v>
      </c>
      <c r="HG59" s="15" t="s">
        <v>32</v>
      </c>
      <c r="HH59" s="15" t="s">
        <v>32</v>
      </c>
      <c r="HI59" s="15" t="s">
        <v>32</v>
      </c>
      <c r="HJ59" s="15" t="s">
        <v>32</v>
      </c>
      <c r="HK59" s="15" t="s">
        <v>32</v>
      </c>
      <c r="HL59" s="15" t="s">
        <v>32</v>
      </c>
      <c r="HM59" s="15" t="s">
        <v>32</v>
      </c>
      <c r="HN59" s="15" t="s">
        <v>32</v>
      </c>
      <c r="HO59" s="15" t="s">
        <v>32</v>
      </c>
      <c r="HP59" s="15" t="s">
        <v>32</v>
      </c>
      <c r="HQ59" s="15" t="s">
        <v>32</v>
      </c>
      <c r="HR59" s="15" t="s">
        <v>32</v>
      </c>
      <c r="HS59" s="15" t="s">
        <v>32</v>
      </c>
      <c r="HT59" s="15" t="s">
        <v>32</v>
      </c>
      <c r="HU59" s="15" t="s">
        <v>32</v>
      </c>
      <c r="HV59" s="15" t="s">
        <v>32</v>
      </c>
      <c r="HW59" s="15" t="s">
        <v>32</v>
      </c>
      <c r="HX59" s="15" t="s">
        <v>32</v>
      </c>
      <c r="HY59" s="15" t="s">
        <v>32</v>
      </c>
      <c r="HZ59" s="15" t="s">
        <v>32</v>
      </c>
      <c r="IA59" s="15" t="s">
        <v>32</v>
      </c>
      <c r="IB59" s="15" t="s">
        <v>32</v>
      </c>
      <c r="IC59" s="15" t="s">
        <v>32</v>
      </c>
      <c r="ID59" s="15" t="s">
        <v>32</v>
      </c>
      <c r="IE59" s="15" t="s">
        <v>32</v>
      </c>
      <c r="IF59" s="15" t="s">
        <v>32</v>
      </c>
      <c r="IG59" s="15" t="s">
        <v>32</v>
      </c>
      <c r="IH59" s="15" t="s">
        <v>32</v>
      </c>
      <c r="II59" s="15" t="s">
        <v>32</v>
      </c>
      <c r="IJ59" s="15" t="s">
        <v>32</v>
      </c>
      <c r="IK59" s="15" t="s">
        <v>32</v>
      </c>
      <c r="IL59" s="15" t="s">
        <v>32</v>
      </c>
      <c r="IM59" s="15" t="s">
        <v>32</v>
      </c>
      <c r="IN59" s="15" t="s">
        <v>32</v>
      </c>
      <c r="IO59" s="15" t="s">
        <v>32</v>
      </c>
      <c r="IP59" s="15" t="s">
        <v>32</v>
      </c>
      <c r="IQ59" s="15" t="s">
        <v>32</v>
      </c>
      <c r="IR59" s="15" t="s">
        <v>32</v>
      </c>
      <c r="IS59" s="15" t="s">
        <v>32</v>
      </c>
      <c r="IT59" s="15" t="s">
        <v>32</v>
      </c>
      <c r="IU59" s="15" t="s">
        <v>32</v>
      </c>
      <c r="IV59" s="15" t="s">
        <v>32</v>
      </c>
      <c r="IW59" s="15" t="s">
        <v>32</v>
      </c>
      <c r="IX59" s="15" t="s">
        <v>32</v>
      </c>
      <c r="IY59" s="15" t="s">
        <v>32</v>
      </c>
      <c r="IZ59" s="15" t="s">
        <v>32</v>
      </c>
      <c r="JA59" s="15" t="s">
        <v>32</v>
      </c>
      <c r="JB59" s="15" t="s">
        <v>32</v>
      </c>
      <c r="JC59" s="15" t="s">
        <v>32</v>
      </c>
      <c r="JD59" s="15" t="s">
        <v>32</v>
      </c>
      <c r="JE59" s="15" t="s">
        <v>32</v>
      </c>
      <c r="JF59" s="15" t="s">
        <v>32</v>
      </c>
      <c r="JG59" s="15" t="s">
        <v>32</v>
      </c>
      <c r="JH59" s="15" t="s">
        <v>32</v>
      </c>
      <c r="JI59" s="15" t="s">
        <v>32</v>
      </c>
      <c r="JJ59" s="15" t="s">
        <v>32</v>
      </c>
      <c r="JK59" s="15" t="s">
        <v>32</v>
      </c>
      <c r="JL59" s="15" t="s">
        <v>32</v>
      </c>
      <c r="JM59" s="15" t="s">
        <v>32</v>
      </c>
      <c r="JN59" s="15" t="s">
        <v>32</v>
      </c>
      <c r="JO59" s="15" t="s">
        <v>32</v>
      </c>
      <c r="JP59" s="15" t="s">
        <v>32</v>
      </c>
      <c r="JQ59" s="15" t="s">
        <v>32</v>
      </c>
      <c r="JR59" s="15" t="s">
        <v>32</v>
      </c>
      <c r="JS59" s="15" t="s">
        <v>32</v>
      </c>
      <c r="JT59" s="15" t="s">
        <v>32</v>
      </c>
      <c r="JU59" s="15" t="s">
        <v>32</v>
      </c>
      <c r="JV59" s="15" t="s">
        <v>32</v>
      </c>
      <c r="JW59" s="15" t="s">
        <v>32</v>
      </c>
      <c r="JX59" s="15" t="s">
        <v>32</v>
      </c>
      <c r="JY59" s="15" t="s">
        <v>32</v>
      </c>
      <c r="JZ59" s="15" t="s">
        <v>32</v>
      </c>
      <c r="KA59" s="15" t="s">
        <v>32</v>
      </c>
      <c r="KB59" s="15" t="s">
        <v>32</v>
      </c>
      <c r="KC59" s="15" t="s">
        <v>32</v>
      </c>
      <c r="KD59" s="15" t="s">
        <v>32</v>
      </c>
      <c r="KE59" s="15" t="s">
        <v>32</v>
      </c>
      <c r="KF59" s="15" t="s">
        <v>32</v>
      </c>
      <c r="KG59" s="15" t="s">
        <v>32</v>
      </c>
      <c r="KH59" s="15" t="s">
        <v>32</v>
      </c>
      <c r="KI59" s="15" t="s">
        <v>32</v>
      </c>
      <c r="KJ59" s="15" t="s">
        <v>32</v>
      </c>
      <c r="KK59" s="15" t="s">
        <v>32</v>
      </c>
      <c r="KL59" s="15" t="s">
        <v>32</v>
      </c>
      <c r="KM59" s="15" t="s">
        <v>32</v>
      </c>
      <c r="KN59" s="15" t="s">
        <v>32</v>
      </c>
      <c r="KO59" s="15" t="s">
        <v>32</v>
      </c>
      <c r="KP59" s="15" t="s">
        <v>32</v>
      </c>
      <c r="KQ59" s="15" t="s">
        <v>32</v>
      </c>
      <c r="KR59" s="15" t="s">
        <v>32</v>
      </c>
      <c r="KS59" s="15" t="s">
        <v>32</v>
      </c>
      <c r="KT59" s="15" t="s">
        <v>32</v>
      </c>
      <c r="KU59" s="15" t="s">
        <v>32</v>
      </c>
      <c r="KV59" s="15" t="s">
        <v>32</v>
      </c>
      <c r="KW59" s="15" t="s">
        <v>32</v>
      </c>
      <c r="KX59" s="15" t="s">
        <v>32</v>
      </c>
      <c r="KY59" s="15" t="s">
        <v>32</v>
      </c>
      <c r="KZ59" s="15" t="s">
        <v>32</v>
      </c>
      <c r="LA59" s="15" t="s">
        <v>32</v>
      </c>
      <c r="LB59" s="15" t="s">
        <v>32</v>
      </c>
      <c r="LC59" s="15" t="s">
        <v>32</v>
      </c>
      <c r="LD59" s="15" t="s">
        <v>32</v>
      </c>
      <c r="LE59" s="15" t="s">
        <v>32</v>
      </c>
      <c r="LF59" s="15" t="s">
        <v>32</v>
      </c>
      <c r="LG59" s="15" t="s">
        <v>32</v>
      </c>
      <c r="LH59" s="15" t="s">
        <v>32</v>
      </c>
      <c r="LI59" s="15" t="s">
        <v>32</v>
      </c>
      <c r="LJ59" s="15" t="s">
        <v>32</v>
      </c>
      <c r="LK59" s="15" t="s">
        <v>32</v>
      </c>
      <c r="LL59" s="15" t="s">
        <v>32</v>
      </c>
      <c r="LM59" s="15" t="s">
        <v>32</v>
      </c>
      <c r="LN59" s="15" t="s">
        <v>32</v>
      </c>
      <c r="LO59" s="15" t="s">
        <v>32</v>
      </c>
      <c r="LP59" s="15" t="s">
        <v>32</v>
      </c>
      <c r="LQ59" s="15" t="s">
        <v>32</v>
      </c>
      <c r="LR59" s="15" t="s">
        <v>32</v>
      </c>
      <c r="LS59" s="15" t="s">
        <v>32</v>
      </c>
      <c r="LT59" s="15" t="s">
        <v>32</v>
      </c>
      <c r="LU59" s="15" t="s">
        <v>32</v>
      </c>
      <c r="LV59" s="15" t="s">
        <v>32</v>
      </c>
      <c r="LW59" s="15" t="s">
        <v>32</v>
      </c>
      <c r="LX59" s="15" t="s">
        <v>32</v>
      </c>
      <c r="LY59" s="15" t="s">
        <v>32</v>
      </c>
      <c r="LZ59" s="15" t="s">
        <v>32</v>
      </c>
      <c r="MA59" s="15" t="s">
        <v>32</v>
      </c>
      <c r="MB59" s="15" t="s">
        <v>32</v>
      </c>
      <c r="MC59" s="15" t="s">
        <v>32</v>
      </c>
      <c r="MD59" s="15" t="s">
        <v>32</v>
      </c>
      <c r="ME59" s="15" t="s">
        <v>32</v>
      </c>
      <c r="MF59" s="15" t="s">
        <v>32</v>
      </c>
      <c r="MG59" s="15" t="s">
        <v>32</v>
      </c>
      <c r="MH59" s="15" t="s">
        <v>32</v>
      </c>
      <c r="MI59" s="15" t="s">
        <v>32</v>
      </c>
      <c r="MJ59" s="15" t="s">
        <v>32</v>
      </c>
      <c r="MK59" s="15" t="s">
        <v>32</v>
      </c>
      <c r="ML59" s="15" t="s">
        <v>32</v>
      </c>
      <c r="MM59" s="15" t="s">
        <v>32</v>
      </c>
      <c r="MN59" s="15" t="s">
        <v>32</v>
      </c>
      <c r="MO59" s="15" t="s">
        <v>32</v>
      </c>
      <c r="MP59" s="15" t="s">
        <v>32</v>
      </c>
      <c r="MQ59" s="15" t="s">
        <v>32</v>
      </c>
      <c r="MR59" s="15" t="s">
        <v>32</v>
      </c>
      <c r="MS59" s="15" t="s">
        <v>32</v>
      </c>
      <c r="MT59" s="15" t="s">
        <v>32</v>
      </c>
      <c r="MU59" s="15" t="s">
        <v>32</v>
      </c>
      <c r="MV59" s="15" t="s">
        <v>32</v>
      </c>
      <c r="MW59" s="15" t="s">
        <v>32</v>
      </c>
      <c r="MX59" s="15" t="s">
        <v>32</v>
      </c>
      <c r="MY59" s="15" t="s">
        <v>32</v>
      </c>
      <c r="MZ59" s="15" t="s">
        <v>32</v>
      </c>
      <c r="NA59" s="15" t="s">
        <v>32</v>
      </c>
      <c r="NB59" s="15" t="s">
        <v>32</v>
      </c>
      <c r="NC59" s="15" t="s">
        <v>32</v>
      </c>
      <c r="ND59" s="15" t="s">
        <v>32</v>
      </c>
      <c r="NE59" s="15" t="s">
        <v>32</v>
      </c>
      <c r="NF59" s="15" t="s">
        <v>32</v>
      </c>
      <c r="NG59" s="15" t="s">
        <v>32</v>
      </c>
      <c r="NH59" s="15" t="s">
        <v>32</v>
      </c>
      <c r="NI59" s="15" t="s">
        <v>32</v>
      </c>
      <c r="NK59" s="35" t="s">
        <v>32</v>
      </c>
      <c r="NN59" s="38"/>
      <c r="NO59" s="37"/>
      <c r="NP59" s="46"/>
      <c r="NQ59" s="75"/>
      <c r="NR59" s="75"/>
      <c r="NS59" s="75"/>
      <c r="NT59" s="75"/>
    </row>
  </sheetData>
  <mergeCells count="4">
    <mergeCell ref="NQ11:NT11"/>
    <mergeCell ref="NN10:NT10"/>
    <mergeCell ref="NN11:NN12"/>
    <mergeCell ref="NO11:NO12"/>
  </mergeCells>
  <conditionalFormatting sqref="NS5:OC5">
    <cfRule type="expression" dxfId="25" priority="62">
      <formula>NS$7=#REF!</formula>
    </cfRule>
  </conditionalFormatting>
  <conditionalFormatting sqref="B13:NJ58">
    <cfRule type="expression" dxfId="24" priority="69" stopIfTrue="1">
      <formula>ISNUMBER(MATCH(DATE($A$7,$A$9,B$11),Feriados,0))</formula>
    </cfRule>
    <cfRule type="expression" dxfId="23" priority="70">
      <formula>B13=$NL$6</formula>
    </cfRule>
    <cfRule type="expression" dxfId="22" priority="71">
      <formula>B13=$NL$9</formula>
    </cfRule>
  </conditionalFormatting>
  <conditionalFormatting sqref="B13:NI58">
    <cfRule type="expression" dxfId="21" priority="1">
      <formula>B13=$NL$8</formula>
    </cfRule>
    <cfRule type="expression" dxfId="20" priority="2">
      <formula>B13=$NL$7</formula>
    </cfRule>
    <cfRule type="expression" dxfId="19" priority="3">
      <formula>B13=$NL$5</formula>
    </cfRule>
  </conditionalFormatting>
  <dataValidations count="2">
    <dataValidation type="custom" allowBlank="1" showErrorMessage="1" errorTitle="Not a Valid Date" error="This isn't a valid Date" sqref="B13:NJ58" xr:uid="{00000000-0002-0000-0100-000000000000}">
      <formula1>B$12&lt;&gt;""</formula1>
    </dataValidation>
    <dataValidation type="list" allowBlank="1" showInputMessage="1" showErrorMessage="1" sqref="A8" xr:uid="{00000000-0002-0000-0100-000001000000}">
      <formula1>Meses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90FA73AA-9C43-480A-96F1-6FD9AC9C860D}">
            <xm:f>IF(VLOOKUP(B12,'Días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28" stopIfTrue="1" id="{D789F88B-168A-499D-A0DC-F845EFDF6A44}">
            <xm:f>AND(B$11&lt;&gt;"",VLOOKUP(B$12,'Días laborables y festivos'!$E$5:$F$11,2,0)&lt;&gt;"Si")</xm:f>
            <x14:dxf>
              <fill>
                <gradientFill type="path" left="0.5" right="0.5" top="0.5" bottom="0.5">
                  <stop position="0">
                    <color theme="0"/>
                  </stop>
                  <stop position="1">
                    <color theme="0" tint="-0.25098422193060094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B13:NJ58</xm:sqref>
        </x14:conditionalFormatting>
        <x14:conditionalFormatting xmlns:xm="http://schemas.microsoft.com/office/excel/2006/main">
          <x14:cfRule type="expression" priority="6" id="{47EE6719-57B1-4853-B47E-1B40B55E39E8}">
            <xm:f>IF(VLOOKUP(C12,'Días laborables y festivos'!$E$5:$F$11,2,0)="No",TRUE,FALSE)</xm:f>
            <x14:dxf>
              <font>
                <b/>
                <i val="0"/>
                <color theme="0"/>
              </font>
              <fill>
                <patternFill patternType="solid">
                  <bgColor theme="0" tint="-0.499984740745262"/>
                </patternFill>
              </fill>
            </x14:dxf>
          </x14:cfRule>
          <xm:sqref>C12:NJ12</xm:sqref>
        </x14:conditionalFormatting>
        <x14:conditionalFormatting xmlns:xm="http://schemas.microsoft.com/office/excel/2006/main">
          <x14:cfRule type="expression" priority="5" id="{A01B4FE1-D906-4427-B8A8-5E05DCFAB896}">
            <xm:f>IF(VLOOKUP(NQ12,'Días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NQ12:NT12</xm:sqref>
        </x14:conditionalFormatting>
        <x14:conditionalFormatting xmlns:xm="http://schemas.microsoft.com/office/excel/2006/main">
          <x14:cfRule type="expression" priority="4" id="{0BF9DD72-6365-4AAB-BE17-65E0984D66DD}">
            <xm:f>IF(VLOOKUP(NQ11,'Días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NQ11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00AD-5B9B-46F3-A2BB-150D76F90A3F}">
  <sheetPr codeName="Dias_Tomados1">
    <tabColor rgb="FFFF0000"/>
  </sheetPr>
  <dimension ref="A2:ACB59"/>
  <sheetViews>
    <sheetView showGridLines="0" showWhiteSpace="0" zoomScale="80" zoomScaleNormal="80" zoomScaleSheetLayoutView="100" workbookViewId="0">
      <selection activeCell="MZ25" sqref="MZ25"/>
    </sheetView>
  </sheetViews>
  <sheetFormatPr defaultColWidth="9.1796875" defaultRowHeight="14.5" x14ac:dyDescent="0.35"/>
  <cols>
    <col min="1" max="1" width="37.36328125" style="11" customWidth="1"/>
    <col min="2" max="10" width="3.7265625" style="15" hidden="1" customWidth="1"/>
    <col min="11" max="11" width="4.1796875" style="15" hidden="1" customWidth="1"/>
    <col min="12" max="30" width="3.7265625" style="15" hidden="1" customWidth="1"/>
    <col min="31" max="31" width="4.7265625" style="15" hidden="1" customWidth="1"/>
    <col min="32" max="32" width="4.453125" style="15" hidden="1" customWidth="1"/>
    <col min="33" max="33" width="3.26953125" style="15" hidden="1" customWidth="1"/>
    <col min="34" max="247" width="3.7265625" style="15" hidden="1" customWidth="1"/>
    <col min="248" max="248" width="3.81640625" style="15" hidden="1" customWidth="1"/>
    <col min="249" max="249" width="3.90625" style="15" hidden="1" customWidth="1"/>
    <col min="250" max="342" width="3.7265625" style="15" hidden="1" customWidth="1"/>
    <col min="343" max="373" width="3.7265625" style="15" customWidth="1"/>
    <col min="374" max="374" width="1.1796875" style="35" customWidth="1"/>
    <col min="375" max="375" width="17.90625" style="35" customWidth="1"/>
    <col min="376" max="376" width="13.1796875" style="35" customWidth="1"/>
    <col min="377" max="377" width="1.7265625" style="35" customWidth="1"/>
    <col min="378" max="378" width="12.1796875" style="15" customWidth="1"/>
    <col min="379" max="379" width="15.26953125" style="15" customWidth="1"/>
    <col min="380" max="380" width="1.26953125" style="16" customWidth="1"/>
    <col min="381" max="381" width="5.1796875" style="35" bestFit="1" customWidth="1"/>
    <col min="382" max="384" width="5.1796875" style="11" bestFit="1" customWidth="1"/>
    <col min="385" max="395" width="5.7265625" style="11" customWidth="1"/>
    <col min="396" max="16384" width="9.1796875" style="11"/>
  </cols>
  <sheetData>
    <row r="2" spans="1:756" s="26" customFormat="1" ht="35.25" customHeight="1" x14ac:dyDescent="0.3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  <c r="HR2" s="51"/>
      <c r="HS2" s="51"/>
      <c r="HT2" s="51"/>
      <c r="HU2" s="51"/>
      <c r="HV2" s="51"/>
      <c r="HW2" s="51"/>
      <c r="HX2" s="51"/>
      <c r="HY2" s="51"/>
      <c r="HZ2" s="51"/>
      <c r="IA2" s="51"/>
      <c r="IB2" s="51"/>
      <c r="IC2" s="51"/>
      <c r="ID2" s="51"/>
      <c r="IE2" s="51"/>
      <c r="IF2" s="51"/>
      <c r="IG2" s="51"/>
      <c r="IH2" s="51"/>
      <c r="II2" s="51"/>
      <c r="IJ2" s="51"/>
      <c r="IK2" s="51"/>
      <c r="IL2" s="51"/>
      <c r="IM2" s="51"/>
      <c r="IN2" s="51"/>
      <c r="IO2" s="51"/>
      <c r="IP2" s="51"/>
      <c r="IQ2" s="51"/>
      <c r="IR2" s="51"/>
      <c r="IS2" s="51"/>
      <c r="IT2" s="51"/>
      <c r="IU2" s="51"/>
      <c r="IV2" s="51"/>
      <c r="IW2" s="51"/>
      <c r="IX2" s="51"/>
      <c r="IY2" s="51"/>
      <c r="IZ2" s="51"/>
      <c r="JA2" s="51"/>
      <c r="JB2" s="51"/>
      <c r="JC2" s="51"/>
      <c r="JD2" s="51"/>
      <c r="JE2" s="51"/>
      <c r="JF2" s="51"/>
      <c r="JG2" s="51"/>
      <c r="JH2" s="51"/>
      <c r="JI2" s="51"/>
      <c r="JJ2" s="51"/>
      <c r="JK2" s="51"/>
      <c r="JL2" s="51"/>
      <c r="JM2" s="51"/>
      <c r="JN2" s="51"/>
      <c r="JO2" s="51"/>
      <c r="JP2" s="51"/>
      <c r="JQ2" s="51"/>
      <c r="JR2" s="51"/>
      <c r="JS2" s="51"/>
      <c r="JT2" s="51"/>
      <c r="JU2" s="51"/>
      <c r="JV2" s="51"/>
      <c r="JW2" s="51"/>
      <c r="JX2" s="51"/>
      <c r="JY2" s="51"/>
      <c r="JZ2" s="51"/>
      <c r="KA2" s="51"/>
      <c r="KB2" s="51"/>
      <c r="KC2" s="51"/>
      <c r="KD2" s="51"/>
      <c r="KE2" s="51"/>
      <c r="KF2" s="51"/>
      <c r="KG2" s="51"/>
      <c r="KH2" s="51"/>
      <c r="KI2" s="51"/>
      <c r="KJ2" s="51"/>
      <c r="KK2" s="51"/>
      <c r="KL2" s="51"/>
      <c r="KM2" s="51"/>
      <c r="KN2" s="51"/>
      <c r="KO2" s="51"/>
      <c r="KP2" s="51"/>
      <c r="KQ2" s="51"/>
      <c r="KR2" s="51"/>
      <c r="KS2" s="51"/>
      <c r="KT2" s="51"/>
      <c r="KU2" s="51"/>
      <c r="KV2" s="51"/>
      <c r="KW2" s="51"/>
      <c r="KX2" s="51"/>
      <c r="KY2" s="51"/>
      <c r="KZ2" s="51"/>
      <c r="LA2" s="51"/>
      <c r="LB2" s="51"/>
      <c r="LC2" s="51"/>
      <c r="LD2" s="51"/>
      <c r="LE2" s="51"/>
      <c r="LF2" s="51"/>
      <c r="LG2" s="51"/>
      <c r="LH2" s="51"/>
      <c r="LI2" s="51"/>
      <c r="LJ2" s="51"/>
      <c r="LK2" s="51"/>
      <c r="LL2" s="51"/>
      <c r="LM2" s="51"/>
      <c r="LN2" s="51"/>
      <c r="LO2" s="51"/>
      <c r="LP2" s="51"/>
      <c r="LQ2" s="51"/>
      <c r="LR2" s="51"/>
      <c r="LS2" s="51"/>
      <c r="LT2" s="51"/>
      <c r="LU2" s="51"/>
      <c r="LV2" s="51"/>
      <c r="LW2" s="51"/>
      <c r="LX2" s="51"/>
      <c r="LY2" s="51"/>
      <c r="LZ2" s="51"/>
      <c r="MA2" s="51"/>
      <c r="MB2" s="51"/>
      <c r="MC2" s="51"/>
      <c r="MD2" s="51"/>
      <c r="ME2" s="51"/>
      <c r="MF2" s="51"/>
      <c r="MG2" s="51"/>
      <c r="MH2" s="51"/>
      <c r="MI2" s="51"/>
      <c r="MJ2" s="51"/>
      <c r="MK2" s="51"/>
      <c r="ML2" s="51"/>
      <c r="MM2" s="51"/>
      <c r="MN2" s="51"/>
      <c r="MO2" s="51"/>
      <c r="MP2" s="51"/>
      <c r="MQ2" s="51"/>
      <c r="MR2" s="51"/>
      <c r="MS2" s="51"/>
      <c r="MT2" s="51"/>
      <c r="MU2" s="51"/>
      <c r="MV2" s="51"/>
      <c r="MW2" s="51"/>
      <c r="MX2" s="51"/>
      <c r="MY2" s="51"/>
      <c r="MZ2" s="51"/>
      <c r="NA2" s="51"/>
      <c r="NB2" s="51"/>
      <c r="NC2" s="51"/>
      <c r="ND2" s="51"/>
      <c r="NE2" s="51"/>
      <c r="NF2" s="51"/>
      <c r="NG2" s="51"/>
      <c r="NH2" s="51"/>
      <c r="NI2" s="51"/>
      <c r="NJ2" s="34"/>
      <c r="NK2" s="34"/>
      <c r="NL2" s="34"/>
      <c r="NM2" s="34"/>
      <c r="NQ2" s="34"/>
    </row>
    <row r="3" spans="1:756" ht="15" thickBot="1" x14ac:dyDescent="0.4"/>
    <row r="4" spans="1:756" ht="15" hidden="1" thickBot="1" x14ac:dyDescent="0.4">
      <c r="AF4" s="23" t="s">
        <v>31</v>
      </c>
    </row>
    <row r="5" spans="1:756" ht="16" thickBot="1" x14ac:dyDescent="0.4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K5" s="60" t="s">
        <v>21</v>
      </c>
      <c r="NL5" s="61" t="s">
        <v>22</v>
      </c>
      <c r="NM5" s="47"/>
      <c r="NQ5" s="36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</row>
    <row r="6" spans="1:756" ht="16" thickBot="1" x14ac:dyDescent="0.4">
      <c r="A6" s="24"/>
      <c r="B6" s="27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K6" s="62" t="s">
        <v>23</v>
      </c>
      <c r="NL6" s="63" t="s">
        <v>0</v>
      </c>
      <c r="NM6" s="47"/>
      <c r="NQ6" s="36"/>
      <c r="NR6" s="17"/>
      <c r="NS6" s="17"/>
      <c r="NT6" s="17"/>
      <c r="NU6" s="17"/>
      <c r="NV6" s="17"/>
      <c r="NW6" s="17"/>
      <c r="NX6" s="17"/>
      <c r="NY6" s="17"/>
      <c r="NZ6" s="17"/>
      <c r="OA6" s="17"/>
    </row>
    <row r="7" spans="1:756" ht="16" thickBot="1" x14ac:dyDescent="0.4">
      <c r="A7" s="24">
        <v>2021</v>
      </c>
      <c r="B7" s="8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K7" s="62" t="s">
        <v>65</v>
      </c>
      <c r="NL7" s="63" t="s">
        <v>66</v>
      </c>
      <c r="NM7" s="47"/>
      <c r="NQ7" s="36"/>
      <c r="NR7" s="19"/>
      <c r="NS7" s="19"/>
      <c r="NT7" s="19"/>
      <c r="NU7" s="19"/>
      <c r="NV7" s="19"/>
      <c r="NW7" s="19"/>
      <c r="NX7" s="19"/>
      <c r="NY7" s="19"/>
      <c r="NZ7" s="19"/>
      <c r="OA7" s="19"/>
    </row>
    <row r="8" spans="1:756" s="12" customFormat="1" ht="19" thickBot="1" x14ac:dyDescent="0.5">
      <c r="A8" s="66" t="s">
        <v>13</v>
      </c>
      <c r="B8" s="22"/>
      <c r="NJ8" s="35"/>
      <c r="NK8" s="62" t="s">
        <v>67</v>
      </c>
      <c r="NL8" s="63" t="s">
        <v>68</v>
      </c>
      <c r="NM8" s="47"/>
      <c r="NQ8" s="36"/>
      <c r="NR8" s="21"/>
      <c r="NS8" s="21"/>
      <c r="NT8" s="21"/>
      <c r="NU8" s="21"/>
      <c r="NV8" s="21"/>
      <c r="NW8" s="21"/>
      <c r="NX8" s="21"/>
      <c r="NY8" s="21"/>
      <c r="NZ8" s="21"/>
      <c r="OA8" s="21"/>
    </row>
    <row r="9" spans="1:756" ht="16" thickBot="1" x14ac:dyDescent="0.4">
      <c r="A9" s="42">
        <f>VLOOKUP(A8,Meses_num,2,0)</f>
        <v>12</v>
      </c>
      <c r="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A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A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B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B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C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C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D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D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E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E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F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F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G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G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H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H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I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I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J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J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K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K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L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L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J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K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L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M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N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O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P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Q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R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S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T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U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V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W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MX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Y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MZ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A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B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C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D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0</v>
      </c>
      <c r="NE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F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G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H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I9" s="6" t="b">
        <f>AND(NOT(ISNUMBER(MATCH(DATE($A$7,INT((COLUMN()-1)/31.001)+1,ROUNDUP(MOD(COLUMN()-1,31.001),0)),Feriados,0))),(VLOOKUP(VLOOKUP(WEEKDAY(DATE($A$7,INT((COLUMN()-1)/31.001)+1,ROUNDUP(MOD(COLUMN()-1,31.001),0)),2),Auxiliar!$D$1:$E$7,2,0),'Días laborables y festivos'!$E$5:$F$11,2,0)="Si"))</f>
        <v>1</v>
      </c>
      <c r="NJ9" s="30"/>
      <c r="NK9" s="64" t="s">
        <v>34</v>
      </c>
      <c r="NL9" s="65" t="s">
        <v>30</v>
      </c>
      <c r="NM9" s="47"/>
      <c r="NQ9" s="9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</row>
    <row r="10" spans="1:756" ht="12.75" customHeight="1" x14ac:dyDescent="0.35">
      <c r="A10" s="25"/>
      <c r="B10" s="10" t="b">
        <f>IFERROR(IF(AND(VLOOKUP(B12,'Días laborables y festivos'!$E$5:$F$11,2,0)="Si",NOT(ISNUMBER(VLOOKUP(DATE($A$7,$A$9+1-1,B11),Feriados,1,0)))),TRUE,FALSE),FALSE)</f>
        <v>0</v>
      </c>
      <c r="C10" s="10" t="b">
        <f>IFERROR(IF(AND(VLOOKUP(C12,'Días laborables y festivos'!$E$5:$F$11,2,0)="Si",NOT(ISNUMBER(VLOOKUP(DATE($A$7,$A$9+1-1,C11),Feriados,1,0)))),TRUE,FALSE),FALSE)</f>
        <v>0</v>
      </c>
      <c r="D10" s="10" t="b">
        <f>IFERROR(IF(AND(VLOOKUP(D12,'Días laborables y festivos'!$E$5:$F$11,2,0)="Si",NOT(ISNUMBER(VLOOKUP(DATE($A$7,$A$9+1-1,D11),Feriados,1,0)))),TRUE,FALSE),FALSE)</f>
        <v>0</v>
      </c>
      <c r="E10" s="10" t="b">
        <f>IFERROR(IF(AND(VLOOKUP(E12,'Días laborables y festivos'!$E$5:$F$11,2,0)="Si",NOT(ISNUMBER(VLOOKUP(DATE($A$7,$A$9+1-1,E11),Feriados,1,0)))),TRUE,FALSE),FALSE)</f>
        <v>0</v>
      </c>
      <c r="F10" s="10" t="b">
        <f>IFERROR(IF(AND(VLOOKUP(F12,'Días laborables y festivos'!$E$5:$F$11,2,0)="Si",NOT(ISNUMBER(VLOOKUP(DATE($A$7,$A$9+1-1,F11),Feriados,1,0)))),TRUE,FALSE),FALSE)</f>
        <v>0</v>
      </c>
      <c r="G10" s="10" t="b">
        <f>IFERROR(IF(AND(VLOOKUP(G12,'Días laborables y festivos'!$E$5:$F$11,2,0)="Si",NOT(ISNUMBER(VLOOKUP(DATE($A$7,$A$9+1-1,G11),Feriados,1,0)))),TRUE,FALSE),FALSE)</f>
        <v>0</v>
      </c>
      <c r="H10" s="10" t="b">
        <f>IFERROR(IF(AND(VLOOKUP(H12,'Días laborables y festivos'!$E$5:$F$11,2,0)="Si",NOT(ISNUMBER(VLOOKUP(DATE($A$7,$A$9+1-1,H11),Feriados,1,0)))),TRUE,FALSE),FALSE)</f>
        <v>0</v>
      </c>
      <c r="I10" s="10" t="b">
        <f>IFERROR(IF(AND(VLOOKUP(I12,'Días laborables y festivos'!$E$5:$F$11,2,0)="Si",NOT(ISNUMBER(VLOOKUP(DATE($A$7,$A$9+1-1,I11),Feriados,1,0)))),TRUE,FALSE),FALSE)</f>
        <v>0</v>
      </c>
      <c r="J10" s="10" t="b">
        <f>IFERROR(IF(AND(VLOOKUP(J12,'Días laborables y festivos'!$E$5:$F$11,2,0)="Si",NOT(ISNUMBER(VLOOKUP(DATE($A$7,$A$9+1-1,J11),Feriados,1,0)))),TRUE,FALSE),FALSE)</f>
        <v>0</v>
      </c>
      <c r="K10" s="10" t="b">
        <f>IFERROR(IF(AND(VLOOKUP(K12,'Días laborables y festivos'!$E$5:$F$11,2,0)="Si",NOT(ISNUMBER(VLOOKUP(DATE($A$7,$A$9+1-1,K11),Feriados,1,0)))),TRUE,FALSE),FALSE)</f>
        <v>0</v>
      </c>
      <c r="L10" s="10" t="b">
        <f>IFERROR(IF(AND(VLOOKUP(L12,'Días laborables y festivos'!$E$5:$F$11,2,0)="Si",NOT(ISNUMBER(VLOOKUP(DATE($A$7,$A$9+1-1,L11),Feriados,1,0)))),TRUE,FALSE),FALSE)</f>
        <v>0</v>
      </c>
      <c r="M10" s="10" t="b">
        <f>IFERROR(IF(AND(VLOOKUP(M12,'Días laborables y festivos'!$E$5:$F$11,2,0)="Si",NOT(ISNUMBER(VLOOKUP(DATE($A$7,$A$9+1-1,M11),Feriados,1,0)))),TRUE,FALSE),FALSE)</f>
        <v>0</v>
      </c>
      <c r="N10" s="10" t="b">
        <f>IFERROR(IF(AND(VLOOKUP(N12,'Días laborables y festivos'!$E$5:$F$11,2,0)="Si",NOT(ISNUMBER(VLOOKUP(DATE($A$7,$A$9+1-1,N11),Feriados,1,0)))),TRUE,FALSE),FALSE)</f>
        <v>0</v>
      </c>
      <c r="O10" s="10" t="b">
        <f>IFERROR(IF(AND(VLOOKUP(O12,'Días laborables y festivos'!$E$5:$F$11,2,0)="Si",NOT(ISNUMBER(VLOOKUP(DATE($A$7,$A$9+1-1,O11),Feriados,1,0)))),TRUE,FALSE),FALSE)</f>
        <v>0</v>
      </c>
      <c r="P10" s="10" t="b">
        <f>IFERROR(IF(AND(VLOOKUP(P12,'Días laborables y festivos'!$E$5:$F$11,2,0)="Si",NOT(ISNUMBER(VLOOKUP(DATE($A$7,$A$9+1-1,P11),Feriados,1,0)))),TRUE,FALSE),FALSE)</f>
        <v>0</v>
      </c>
      <c r="Q10" s="10" t="b">
        <f>IFERROR(IF(AND(VLOOKUP(Q12,'Días laborables y festivos'!$E$5:$F$11,2,0)="Si",NOT(ISNUMBER(VLOOKUP(DATE($A$7,$A$9+1-1,Q11),Feriados,1,0)))),TRUE,FALSE),FALSE)</f>
        <v>0</v>
      </c>
      <c r="R10" s="10" t="b">
        <f>IFERROR(IF(AND(VLOOKUP(R12,'Días laborables y festivos'!$E$5:$F$11,2,0)="Si",NOT(ISNUMBER(VLOOKUP(DATE($A$7,$A$9+1-1,R11),Feriados,1,0)))),TRUE,FALSE),FALSE)</f>
        <v>0</v>
      </c>
      <c r="S10" s="10" t="b">
        <f>IFERROR(IF(AND(VLOOKUP(S12,'Días laborables y festivos'!$E$5:$F$11,2,0)="Si",NOT(ISNUMBER(VLOOKUP(DATE($A$7,$A$9+1-1,S11),Feriados,1,0)))),TRUE,FALSE),FALSE)</f>
        <v>0</v>
      </c>
      <c r="T10" s="10" t="b">
        <f>IFERROR(IF(AND(VLOOKUP(T12,'Días laborables y festivos'!$E$5:$F$11,2,0)="Si",NOT(ISNUMBER(VLOOKUP(DATE($A$7,$A$9+1-1,T11),Feriados,1,0)))),TRUE,FALSE),FALSE)</f>
        <v>0</v>
      </c>
      <c r="U10" s="10" t="b">
        <f>IFERROR(IF(AND(VLOOKUP(U12,'Días laborables y festivos'!$E$5:$F$11,2,0)="Si",NOT(ISNUMBER(VLOOKUP(DATE($A$7,$A$9+1-1,U11),Feriados,1,0)))),TRUE,FALSE),FALSE)</f>
        <v>0</v>
      </c>
      <c r="V10" s="10" t="b">
        <f>IFERROR(IF(AND(VLOOKUP(V12,'Días laborables y festivos'!$E$5:$F$11,2,0)="Si",NOT(ISNUMBER(VLOOKUP(DATE($A$7,$A$9+1-1,V11),Feriados,1,0)))),TRUE,FALSE),FALSE)</f>
        <v>0</v>
      </c>
      <c r="W10" s="10" t="b">
        <f>IFERROR(IF(AND(VLOOKUP(W12,'Días laborables y festivos'!$E$5:$F$11,2,0)="Si",NOT(ISNUMBER(VLOOKUP(DATE($A$7,$A$9+1-1,W11),Feriados,1,0)))),TRUE,FALSE),FALSE)</f>
        <v>0</v>
      </c>
      <c r="X10" s="10" t="b">
        <f>IFERROR(IF(AND(VLOOKUP(X12,'Días laborables y festivos'!$E$5:$F$11,2,0)="Si",NOT(ISNUMBER(VLOOKUP(DATE($A$7,$A$9+1-1,X11),Feriados,1,0)))),TRUE,FALSE),FALSE)</f>
        <v>0</v>
      </c>
      <c r="Y10" s="10" t="b">
        <f>IFERROR(IF(AND(VLOOKUP(Y12,'Días laborables y festivos'!$E$5:$F$11,2,0)="Si",NOT(ISNUMBER(VLOOKUP(DATE($A$7,$A$9+1-1,Y11),Feriados,1,0)))),TRUE,FALSE),FALSE)</f>
        <v>0</v>
      </c>
      <c r="Z10" s="10" t="b">
        <f>IFERROR(IF(AND(VLOOKUP(Z12,'Días laborables y festivos'!$E$5:$F$11,2,0)="Si",NOT(ISNUMBER(VLOOKUP(DATE($A$7,$A$9+1-1,Z11),Feriados,1,0)))),TRUE,FALSE),FALSE)</f>
        <v>0</v>
      </c>
      <c r="AA10" s="10" t="b">
        <f>IFERROR(IF(AND(VLOOKUP(AA12,'Días laborables y festivos'!$E$5:$F$11,2,0)="Si",NOT(ISNUMBER(VLOOKUP(DATE($A$7,$A$9+1-1,AA11),Feriados,1,0)))),TRUE,FALSE),FALSE)</f>
        <v>0</v>
      </c>
      <c r="AB10" s="10" t="b">
        <f>IFERROR(IF(AND(VLOOKUP(AB12,'Días laborables y festivos'!$E$5:$F$11,2,0)="Si",NOT(ISNUMBER(VLOOKUP(DATE($A$7,$A$9+1-1,AB11),Feriados,1,0)))),TRUE,FALSE),FALSE)</f>
        <v>0</v>
      </c>
      <c r="AC10" s="10" t="b">
        <f>IFERROR(IF(AND(VLOOKUP(AC12,'Días laborables y festivos'!$E$5:$F$11,2,0)="Si",NOT(ISNUMBER(VLOOKUP(DATE($A$7,$A$9+1-1,AC11),Feriados,1,0)))),TRUE,FALSE),FALSE)</f>
        <v>0</v>
      </c>
      <c r="AD10" s="10" t="b">
        <f>IFERROR(IF(AND(VLOOKUP(AD12,'Días laborables y festivos'!$E$5:$F$11,2,0)="Si",NOT(ISNUMBER(VLOOKUP(DATE($A$7,$A$9+1-1,AD11),Feriados,1,0)))),TRUE,FALSE),FALSE)</f>
        <v>0</v>
      </c>
      <c r="AE10" s="10" t="b">
        <f>IFERROR(IF(AND(VLOOKUP(AE12,'Días laborables y festivos'!$E$5:$F$11,2,0)="Si",NOT(ISNUMBER(VLOOKUP(DATE($A$7,$A$9+1-1,AE11),Feriados,1,0)))),TRUE,FALSE),FALSE)</f>
        <v>0</v>
      </c>
      <c r="AF10" s="10" t="b">
        <f>IFERROR(IF(AND(VLOOKUP(AF12,'Días laborables y festivos'!$E$5:$F$11,2,0)="Si",NOT(ISNUMBER(VLOOKUP(DATE($A$7,$A$9+1-1,AF11),Feriados,1,0)))),TRUE,FALSE),FALSE)</f>
        <v>0</v>
      </c>
      <c r="AG10" s="10" t="b">
        <f>IFERROR(IF(AND(VLOOKUP(AG12,'Días laborables y festivos'!$E$5:$F$11,2,0)="Si",NOT(ISNUMBER(VLOOKUP(DATE($A$7,$A$9+1-1,AG11),Feriados,1,0)))),TRUE,FALSE),FALSE)</f>
        <v>0</v>
      </c>
      <c r="AH10" s="10" t="b">
        <f>IFERROR(IF(AND(VLOOKUP(AH12,'Días laborables y festivos'!$E$5:$F$11,2,0)="Si",NOT(ISNUMBER(VLOOKUP(DATE($A$7,$A$9+1-1,AH11),Feriados,1,0)))),TRUE,FALSE),FALSE)</f>
        <v>0</v>
      </c>
      <c r="AI10" s="10" t="b">
        <f>IFERROR(IF(AND(VLOOKUP(AI12,'Días laborables y festivos'!$E$5:$F$11,2,0)="Si",NOT(ISNUMBER(VLOOKUP(DATE($A$7,$A$9+1-1,AI11),Feriados,1,0)))),TRUE,FALSE),FALSE)</f>
        <v>0</v>
      </c>
      <c r="AJ10" s="10" t="b">
        <f>IFERROR(IF(AND(VLOOKUP(AJ12,'Días laborables y festivos'!$E$5:$F$11,2,0)="Si",NOT(ISNUMBER(VLOOKUP(DATE($A$7,$A$9+1-1,AJ11),Feriados,1,0)))),TRUE,FALSE),FALSE)</f>
        <v>0</v>
      </c>
      <c r="AK10" s="10" t="b">
        <f>IFERROR(IF(AND(VLOOKUP(AK12,'Días laborables y festivos'!$E$5:$F$11,2,0)="Si",NOT(ISNUMBER(VLOOKUP(DATE($A$7,$A$9+1-1,AK11),Feriados,1,0)))),TRUE,FALSE),FALSE)</f>
        <v>0</v>
      </c>
      <c r="AL10" s="10" t="b">
        <f>IFERROR(IF(AND(VLOOKUP(AL12,'Días laborables y festivos'!$E$5:$F$11,2,0)="Si",NOT(ISNUMBER(VLOOKUP(DATE($A$7,$A$9+1-1,AL11),Feriados,1,0)))),TRUE,FALSE),FALSE)</f>
        <v>0</v>
      </c>
      <c r="AM10" s="10" t="b">
        <f>IFERROR(IF(AND(VLOOKUP(AM12,'Días laborables y festivos'!$E$5:$F$11,2,0)="Si",NOT(ISNUMBER(VLOOKUP(DATE($A$7,$A$9+1-1,AM11),Feriados,1,0)))),TRUE,FALSE),FALSE)</f>
        <v>0</v>
      </c>
      <c r="AN10" s="10" t="b">
        <f>IFERROR(IF(AND(VLOOKUP(AN12,'Días laborables y festivos'!$E$5:$F$11,2,0)="Si",NOT(ISNUMBER(VLOOKUP(DATE($A$7,$A$9+1-1,AN11),Feriados,1,0)))),TRUE,FALSE),FALSE)</f>
        <v>0</v>
      </c>
      <c r="AO10" s="10" t="b">
        <f>IFERROR(IF(AND(VLOOKUP(AO12,'Días laborables y festivos'!$E$5:$F$11,2,0)="Si",NOT(ISNUMBER(VLOOKUP(DATE($A$7,$A$9+1-1,AO11),Feriados,1,0)))),TRUE,FALSE),FALSE)</f>
        <v>0</v>
      </c>
      <c r="AP10" s="10" t="b">
        <f>IFERROR(IF(AND(VLOOKUP(AP12,'Días laborables y festivos'!$E$5:$F$11,2,0)="Si",NOT(ISNUMBER(VLOOKUP(DATE($A$7,$A$9+1-1,AP11),Feriados,1,0)))),TRUE,FALSE),FALSE)</f>
        <v>0</v>
      </c>
      <c r="AQ10" s="10" t="b">
        <f>IFERROR(IF(AND(VLOOKUP(AQ12,'Días laborables y festivos'!$E$5:$F$11,2,0)="Si",NOT(ISNUMBER(VLOOKUP(DATE($A$7,$A$9+1-1,AQ11),Feriados,1,0)))),TRUE,FALSE),FALSE)</f>
        <v>0</v>
      </c>
      <c r="AR10" s="10" t="b">
        <f>IFERROR(IF(AND(VLOOKUP(AR12,'Días laborables y festivos'!$E$5:$F$11,2,0)="Si",NOT(ISNUMBER(VLOOKUP(DATE($A$7,$A$9+1-1,AR11),Feriados,1,0)))),TRUE,FALSE),FALSE)</f>
        <v>0</v>
      </c>
      <c r="AS10" s="10" t="b">
        <f>IFERROR(IF(AND(VLOOKUP(AS12,'Días laborables y festivos'!$E$5:$F$11,2,0)="Si",NOT(ISNUMBER(VLOOKUP(DATE($A$7,$A$9+1-1,AS11),Feriados,1,0)))),TRUE,FALSE),FALSE)</f>
        <v>0</v>
      </c>
      <c r="AT10" s="10" t="b">
        <f>IFERROR(IF(AND(VLOOKUP(AT12,'Días laborables y festivos'!$E$5:$F$11,2,0)="Si",NOT(ISNUMBER(VLOOKUP(DATE($A$7,$A$9+1-1,AT11),Feriados,1,0)))),TRUE,FALSE),FALSE)</f>
        <v>0</v>
      </c>
      <c r="AU10" s="10" t="b">
        <f>IFERROR(IF(AND(VLOOKUP(AU12,'Días laborables y festivos'!$E$5:$F$11,2,0)="Si",NOT(ISNUMBER(VLOOKUP(DATE($A$7,$A$9+1-1,AU11),Feriados,1,0)))),TRUE,FALSE),FALSE)</f>
        <v>0</v>
      </c>
      <c r="AV10" s="10" t="b">
        <f>IFERROR(IF(AND(VLOOKUP(AV12,'Días laborables y festivos'!$E$5:$F$11,2,0)="Si",NOT(ISNUMBER(VLOOKUP(DATE($A$7,$A$9+1-1,AV11),Feriados,1,0)))),TRUE,FALSE),FALSE)</f>
        <v>0</v>
      </c>
      <c r="AW10" s="10" t="b">
        <f>IFERROR(IF(AND(VLOOKUP(AW12,'Días laborables y festivos'!$E$5:$F$11,2,0)="Si",NOT(ISNUMBER(VLOOKUP(DATE($A$7,$A$9+1-1,AW11),Feriados,1,0)))),TRUE,FALSE),FALSE)</f>
        <v>0</v>
      </c>
      <c r="AX10" s="10" t="b">
        <f>IFERROR(IF(AND(VLOOKUP(AX12,'Días laborables y festivos'!$E$5:$F$11,2,0)="Si",NOT(ISNUMBER(VLOOKUP(DATE($A$7,$A$9+1-1,AX11),Feriados,1,0)))),TRUE,FALSE),FALSE)</f>
        <v>0</v>
      </c>
      <c r="AY10" s="10" t="b">
        <f>IFERROR(IF(AND(VLOOKUP(AY12,'Días laborables y festivos'!$E$5:$F$11,2,0)="Si",NOT(ISNUMBER(VLOOKUP(DATE($A$7,$A$9+1-1,AY11),Feriados,1,0)))),TRUE,FALSE),FALSE)</f>
        <v>0</v>
      </c>
      <c r="AZ10" s="10" t="b">
        <f>IFERROR(IF(AND(VLOOKUP(AZ12,'Días laborables y festivos'!$E$5:$F$11,2,0)="Si",NOT(ISNUMBER(VLOOKUP(DATE($A$7,$A$9+1-1,AZ11),Feriados,1,0)))),TRUE,FALSE),FALSE)</f>
        <v>0</v>
      </c>
      <c r="BA10" s="10" t="b">
        <f>IFERROR(IF(AND(VLOOKUP(BA12,'Días laborables y festivos'!$E$5:$F$11,2,0)="Si",NOT(ISNUMBER(VLOOKUP(DATE($A$7,$A$9+1-1,BA11),Feriados,1,0)))),TRUE,FALSE),FALSE)</f>
        <v>0</v>
      </c>
      <c r="BB10" s="10" t="b">
        <f>IFERROR(IF(AND(VLOOKUP(BB12,'Días laborables y festivos'!$E$5:$F$11,2,0)="Si",NOT(ISNUMBER(VLOOKUP(DATE($A$7,$A$9+1-1,BB11),Feriados,1,0)))),TRUE,FALSE),FALSE)</f>
        <v>0</v>
      </c>
      <c r="BC10" s="10" t="b">
        <f>IFERROR(IF(AND(VLOOKUP(BC12,'Días laborables y festivos'!$E$5:$F$11,2,0)="Si",NOT(ISNUMBER(VLOOKUP(DATE($A$7,$A$9+1-1,BC11),Feriados,1,0)))),TRUE,FALSE),FALSE)</f>
        <v>0</v>
      </c>
      <c r="BD10" s="10" t="b">
        <f>IFERROR(IF(AND(VLOOKUP(BD12,'Días laborables y festivos'!$E$5:$F$11,2,0)="Si",NOT(ISNUMBER(VLOOKUP(DATE($A$7,$A$9+1-1,BD11),Feriados,1,0)))),TRUE,FALSE),FALSE)</f>
        <v>0</v>
      </c>
      <c r="BE10" s="10" t="b">
        <f>IFERROR(IF(AND(VLOOKUP(BE12,'Días laborables y festivos'!$E$5:$F$11,2,0)="Si",NOT(ISNUMBER(VLOOKUP(DATE($A$7,$A$9+1-1,BE11),Feriados,1,0)))),TRUE,FALSE),FALSE)</f>
        <v>0</v>
      </c>
      <c r="BF10" s="10" t="b">
        <f>IFERROR(IF(AND(VLOOKUP(BF12,'Días laborables y festivos'!$E$5:$F$11,2,0)="Si",NOT(ISNUMBER(VLOOKUP(DATE($A$7,$A$9+1-1,BF11),Feriados,1,0)))),TRUE,FALSE),FALSE)</f>
        <v>0</v>
      </c>
      <c r="BG10" s="10" t="b">
        <f>IFERROR(IF(AND(VLOOKUP(BG12,'Días laborables y festivos'!$E$5:$F$11,2,0)="Si",NOT(ISNUMBER(VLOOKUP(DATE($A$7,$A$9+1-1,BG11),Feriados,1,0)))),TRUE,FALSE),FALSE)</f>
        <v>0</v>
      </c>
      <c r="BH10" s="10" t="b">
        <f>IFERROR(IF(AND(VLOOKUP(BH12,'Días laborables y festivos'!$E$5:$F$11,2,0)="Si",NOT(ISNUMBER(VLOOKUP(DATE($A$7,$A$9+1-1,BH11),Feriados,1,0)))),TRUE,FALSE),FALSE)</f>
        <v>0</v>
      </c>
      <c r="BI10" s="10" t="b">
        <f>IFERROR(IF(AND(VLOOKUP(BI12,'Días laborables y festivos'!$E$5:$F$11,2,0)="Si",NOT(ISNUMBER(VLOOKUP(DATE($A$7,$A$9+1-1,BI11),Feriados,1,0)))),TRUE,FALSE),FALSE)</f>
        <v>0</v>
      </c>
      <c r="BJ10" s="10" t="b">
        <f>IFERROR(IF(AND(VLOOKUP(BJ12,'Días laborables y festivos'!$E$5:$F$11,2,0)="Si",NOT(ISNUMBER(VLOOKUP(DATE($A$7,$A$9+1-1,BJ11),Feriados,1,0)))),TRUE,FALSE),FALSE)</f>
        <v>0</v>
      </c>
      <c r="BK10" s="10" t="b">
        <f>IFERROR(IF(AND(VLOOKUP(BK12,'Días laborables y festivos'!$E$5:$F$11,2,0)="Si",NOT(ISNUMBER(VLOOKUP(DATE($A$7,$A$9+1-1,BK11),Feriados,1,0)))),TRUE,FALSE),FALSE)</f>
        <v>0</v>
      </c>
      <c r="BL10" s="10" t="b">
        <f>IFERROR(IF(AND(VLOOKUP(BL12,'Días laborables y festivos'!$E$5:$F$11,2,0)="Si",NOT(ISNUMBER(VLOOKUP(DATE($A$7,$A$9+1-1,BL11),Feriados,1,0)))),TRUE,FALSE),FALSE)</f>
        <v>0</v>
      </c>
      <c r="BM10" s="10" t="b">
        <f>IFERROR(IF(AND(VLOOKUP(BM12,'Días laborables y festivos'!$E$5:$F$11,2,0)="Si",NOT(ISNUMBER(VLOOKUP(DATE($A$7,$A$9+1-1,BM11),Feriados,1,0)))),TRUE,FALSE),FALSE)</f>
        <v>0</v>
      </c>
      <c r="BN10" s="10" t="b">
        <f>IFERROR(IF(AND(VLOOKUP(BN12,'Días laborables y festivos'!$E$5:$F$11,2,0)="Si",NOT(ISNUMBER(VLOOKUP(DATE($A$7,$A$9+1-1,BN11),Feriados,1,0)))),TRUE,FALSE),FALSE)</f>
        <v>0</v>
      </c>
      <c r="BO10" s="10" t="b">
        <f>IFERROR(IF(AND(VLOOKUP(BO12,'Días laborables y festivos'!$E$5:$F$11,2,0)="Si",NOT(ISNUMBER(VLOOKUP(DATE($A$7,$A$9+1-1,BO11),Feriados,1,0)))),TRUE,FALSE),FALSE)</f>
        <v>0</v>
      </c>
      <c r="BP10" s="10" t="b">
        <f>IFERROR(IF(AND(VLOOKUP(BP12,'Días laborables y festivos'!$E$5:$F$11,2,0)="Si",NOT(ISNUMBER(VLOOKUP(DATE($A$7,$A$9+1-1,BP11),Feriados,1,0)))),TRUE,FALSE),FALSE)</f>
        <v>0</v>
      </c>
      <c r="BQ10" s="10" t="b">
        <f>IFERROR(IF(AND(VLOOKUP(BQ12,'Días laborables y festivos'!$E$5:$F$11,2,0)="Si",NOT(ISNUMBER(VLOOKUP(DATE($A$7,$A$9+1-1,BQ11),Feriados,1,0)))),TRUE,FALSE),FALSE)</f>
        <v>0</v>
      </c>
      <c r="BR10" s="10" t="b">
        <f>IFERROR(IF(AND(VLOOKUP(BR12,'Días laborables y festivos'!$E$5:$F$11,2,0)="Si",NOT(ISNUMBER(VLOOKUP(DATE($A$7,$A$9+1-1,BR11),Feriados,1,0)))),TRUE,FALSE),FALSE)</f>
        <v>0</v>
      </c>
      <c r="BS10" s="10" t="b">
        <f>IFERROR(IF(AND(VLOOKUP(BS12,'Días laborables y festivos'!$E$5:$F$11,2,0)="Si",NOT(ISNUMBER(VLOOKUP(DATE($A$7,$A$9+1-1,BS11),Feriados,1,0)))),TRUE,FALSE),FALSE)</f>
        <v>0</v>
      </c>
      <c r="BT10" s="10" t="b">
        <f>IFERROR(IF(AND(VLOOKUP(BT12,'Días laborables y festivos'!$E$5:$F$11,2,0)="Si",NOT(ISNUMBER(VLOOKUP(DATE($A$7,$A$9+1-1,BT11),Feriados,1,0)))),TRUE,FALSE),FALSE)</f>
        <v>0</v>
      </c>
      <c r="BU10" s="10" t="b">
        <f>IFERROR(IF(AND(VLOOKUP(BU12,'Días laborables y festivos'!$E$5:$F$11,2,0)="Si",NOT(ISNUMBER(VLOOKUP(DATE($A$7,$A$9+1-1,BU11),Feriados,1,0)))),TRUE,FALSE),FALSE)</f>
        <v>0</v>
      </c>
      <c r="BV10" s="10" t="b">
        <f>IFERROR(IF(AND(VLOOKUP(BV12,'Días laborables y festivos'!$E$5:$F$11,2,0)="Si",NOT(ISNUMBER(VLOOKUP(DATE($A$7,$A$9+1-1,BV11),Feriados,1,0)))),TRUE,FALSE),FALSE)</f>
        <v>0</v>
      </c>
      <c r="BW10" s="10" t="b">
        <f>IFERROR(IF(AND(VLOOKUP(BW12,'Días laborables y festivos'!$E$5:$F$11,2,0)="Si",NOT(ISNUMBER(VLOOKUP(DATE($A$7,$A$9+1-1,BW11),Feriados,1,0)))),TRUE,FALSE),FALSE)</f>
        <v>0</v>
      </c>
      <c r="BX10" s="10" t="b">
        <f>IFERROR(IF(AND(VLOOKUP(BX12,'Días laborables y festivos'!$E$5:$F$11,2,0)="Si",NOT(ISNUMBER(VLOOKUP(DATE($A$7,$A$9+1-1,BX11),Feriados,1,0)))),TRUE,FALSE),FALSE)</f>
        <v>0</v>
      </c>
      <c r="BY10" s="10" t="b">
        <f>IFERROR(IF(AND(VLOOKUP(BY12,'Días laborables y festivos'!$E$5:$F$11,2,0)="Si",NOT(ISNUMBER(VLOOKUP(DATE($A$7,$A$9+1-1,BY11),Feriados,1,0)))),TRUE,FALSE),FALSE)</f>
        <v>0</v>
      </c>
      <c r="BZ10" s="10" t="b">
        <f>IFERROR(IF(AND(VLOOKUP(BZ12,'Días laborables y festivos'!$E$5:$F$11,2,0)="Si",NOT(ISNUMBER(VLOOKUP(DATE($A$7,$A$9+1-1,BZ11),Feriados,1,0)))),TRUE,FALSE),FALSE)</f>
        <v>0</v>
      </c>
      <c r="CA10" s="10" t="b">
        <f>IFERROR(IF(AND(VLOOKUP(CA12,'Días laborables y festivos'!$E$5:$F$11,2,0)="Si",NOT(ISNUMBER(VLOOKUP(DATE($A$7,$A$9+1-1,CA11),Feriados,1,0)))),TRUE,FALSE),FALSE)</f>
        <v>0</v>
      </c>
      <c r="CB10" s="10" t="b">
        <f>IFERROR(IF(AND(VLOOKUP(CB12,'Días laborables y festivos'!$E$5:$F$11,2,0)="Si",NOT(ISNUMBER(VLOOKUP(DATE($A$7,$A$9+1-1,CB11),Feriados,1,0)))),TRUE,FALSE),FALSE)</f>
        <v>0</v>
      </c>
      <c r="CC10" s="10" t="b">
        <f>IFERROR(IF(AND(VLOOKUP(CC12,'Días laborables y festivos'!$E$5:$F$11,2,0)="Si",NOT(ISNUMBER(VLOOKUP(DATE($A$7,$A$9+1-1,CC11),Feriados,1,0)))),TRUE,FALSE),FALSE)</f>
        <v>0</v>
      </c>
      <c r="CD10" s="10" t="b">
        <f>IFERROR(IF(AND(VLOOKUP(CD12,'Días laborables y festivos'!$E$5:$F$11,2,0)="Si",NOT(ISNUMBER(VLOOKUP(DATE($A$7,$A$9+1-1,CD11),Feriados,1,0)))),TRUE,FALSE),FALSE)</f>
        <v>0</v>
      </c>
      <c r="CE10" s="10" t="b">
        <f>IFERROR(IF(AND(VLOOKUP(CE12,'Días laborables y festivos'!$E$5:$F$11,2,0)="Si",NOT(ISNUMBER(VLOOKUP(DATE($A$7,$A$9+1-1,CE11),Feriados,1,0)))),TRUE,FALSE),FALSE)</f>
        <v>0</v>
      </c>
      <c r="CF10" s="10" t="b">
        <f>IFERROR(IF(AND(VLOOKUP(CF12,'Días laborables y festivos'!$E$5:$F$11,2,0)="Si",NOT(ISNUMBER(VLOOKUP(DATE($A$7,$A$9+1-1,CF11),Feriados,1,0)))),TRUE,FALSE),FALSE)</f>
        <v>0</v>
      </c>
      <c r="CG10" s="10" t="b">
        <f>IFERROR(IF(AND(VLOOKUP(CG12,'Días laborables y festivos'!$E$5:$F$11,2,0)="Si",NOT(ISNUMBER(VLOOKUP(DATE($A$7,$A$9+1-1,CG11),Feriados,1,0)))),TRUE,FALSE),FALSE)</f>
        <v>0</v>
      </c>
      <c r="CH10" s="10" t="b">
        <f>IFERROR(IF(AND(VLOOKUP(CH12,'Días laborables y festivos'!$E$5:$F$11,2,0)="Si",NOT(ISNUMBER(VLOOKUP(DATE($A$7,$A$9+1-1,CH11),Feriados,1,0)))),TRUE,FALSE),FALSE)</f>
        <v>0</v>
      </c>
      <c r="CI10" s="10" t="b">
        <f>IFERROR(IF(AND(VLOOKUP(CI12,'Días laborables y festivos'!$E$5:$F$11,2,0)="Si",NOT(ISNUMBER(VLOOKUP(DATE($A$7,$A$9+1-1,CI11),Feriados,1,0)))),TRUE,FALSE),FALSE)</f>
        <v>0</v>
      </c>
      <c r="CJ10" s="10" t="b">
        <f>IFERROR(IF(AND(VLOOKUP(CJ12,'Días laborables y festivos'!$E$5:$F$11,2,0)="Si",NOT(ISNUMBER(VLOOKUP(DATE($A$7,$A$9+1-1,CJ11),Feriados,1,0)))),TRUE,FALSE),FALSE)</f>
        <v>0</v>
      </c>
      <c r="CK10" s="10" t="b">
        <f>IFERROR(IF(AND(VLOOKUP(CK12,'Días laborables y festivos'!$E$5:$F$11,2,0)="Si",NOT(ISNUMBER(VLOOKUP(DATE($A$7,$A$9+1-1,CK11),Feriados,1,0)))),TRUE,FALSE),FALSE)</f>
        <v>0</v>
      </c>
      <c r="CL10" s="10" t="b">
        <f>IFERROR(IF(AND(VLOOKUP(CL12,'Días laborables y festivos'!$E$5:$F$11,2,0)="Si",NOT(ISNUMBER(VLOOKUP(DATE($A$7,$A$9+1-1,CL11),Feriados,1,0)))),TRUE,FALSE),FALSE)</f>
        <v>0</v>
      </c>
      <c r="CM10" s="10" t="b">
        <f>IFERROR(IF(AND(VLOOKUP(CM12,'Días laborables y festivos'!$E$5:$F$11,2,0)="Si",NOT(ISNUMBER(VLOOKUP(DATE($A$7,$A$9+1-1,CM11),Feriados,1,0)))),TRUE,FALSE),FALSE)</f>
        <v>0</v>
      </c>
      <c r="CN10" s="10" t="b">
        <f>IFERROR(IF(AND(VLOOKUP(CN12,'Días laborables y festivos'!$E$5:$F$11,2,0)="Si",NOT(ISNUMBER(VLOOKUP(DATE($A$7,$A$9+1-1,CN11),Feriados,1,0)))),TRUE,FALSE),FALSE)</f>
        <v>0</v>
      </c>
      <c r="CO10" s="10" t="b">
        <f>IFERROR(IF(AND(VLOOKUP(CO12,'Días laborables y festivos'!$E$5:$F$11,2,0)="Si",NOT(ISNUMBER(VLOOKUP(DATE($A$7,$A$9+1-1,CO11),Feriados,1,0)))),TRUE,FALSE),FALSE)</f>
        <v>0</v>
      </c>
      <c r="CP10" s="10" t="b">
        <f>IFERROR(IF(AND(VLOOKUP(CP12,'Días laborables y festivos'!$E$5:$F$11,2,0)="Si",NOT(ISNUMBER(VLOOKUP(DATE($A$7,$A$9+1-1,CP11),Feriados,1,0)))),TRUE,FALSE),FALSE)</f>
        <v>0</v>
      </c>
      <c r="CQ10" s="10" t="b">
        <f>IFERROR(IF(AND(VLOOKUP(CQ12,'Días laborables y festivos'!$E$5:$F$11,2,0)="Si",NOT(ISNUMBER(VLOOKUP(DATE($A$7,$A$9+1-1,CQ11),Feriados,1,0)))),TRUE,FALSE),FALSE)</f>
        <v>0</v>
      </c>
      <c r="CR10" s="10" t="b">
        <f>IFERROR(IF(AND(VLOOKUP(CR12,'Días laborables y festivos'!$E$5:$F$11,2,0)="Si",NOT(ISNUMBER(VLOOKUP(DATE($A$7,$A$9+1-1,CR11),Feriados,1,0)))),TRUE,FALSE),FALSE)</f>
        <v>0</v>
      </c>
      <c r="CS10" s="10" t="b">
        <f>IFERROR(IF(AND(VLOOKUP(CS12,'Días laborables y festivos'!$E$5:$F$11,2,0)="Si",NOT(ISNUMBER(VLOOKUP(DATE($A$7,$A$9+1-1,CS11),Feriados,1,0)))),TRUE,FALSE),FALSE)</f>
        <v>0</v>
      </c>
      <c r="CT10" s="10" t="b">
        <f>IFERROR(IF(AND(VLOOKUP(CT12,'Días laborables y festivos'!$E$5:$F$11,2,0)="Si",NOT(ISNUMBER(VLOOKUP(DATE($A$7,$A$9+1-1,CT11),Feriados,1,0)))),TRUE,FALSE),FALSE)</f>
        <v>0</v>
      </c>
      <c r="CU10" s="10" t="b">
        <f>IFERROR(IF(AND(VLOOKUP(CU12,'Días laborables y festivos'!$E$5:$F$11,2,0)="Si",NOT(ISNUMBER(VLOOKUP(DATE($A$7,$A$9+1-1,CU11),Feriados,1,0)))),TRUE,FALSE),FALSE)</f>
        <v>0</v>
      </c>
      <c r="CV10" s="10" t="b">
        <f>IFERROR(IF(AND(VLOOKUP(CV12,'Días laborables y festivos'!$E$5:$F$11,2,0)="Si",NOT(ISNUMBER(VLOOKUP(DATE($A$7,$A$9+1-1,CV11),Feriados,1,0)))),TRUE,FALSE),FALSE)</f>
        <v>0</v>
      </c>
      <c r="CW10" s="10" t="b">
        <f>IFERROR(IF(AND(VLOOKUP(CW12,'Días laborables y festivos'!$E$5:$F$11,2,0)="Si",NOT(ISNUMBER(VLOOKUP(DATE($A$7,$A$9+1-1,CW11),Feriados,1,0)))),TRUE,FALSE),FALSE)</f>
        <v>0</v>
      </c>
      <c r="CX10" s="10" t="b">
        <f>IFERROR(IF(AND(VLOOKUP(CX12,'Días laborables y festivos'!$E$5:$F$11,2,0)="Si",NOT(ISNUMBER(VLOOKUP(DATE($A$7,$A$9+1-1,CX11),Feriados,1,0)))),TRUE,FALSE),FALSE)</f>
        <v>0</v>
      </c>
      <c r="CY10" s="10" t="b">
        <f>IFERROR(IF(AND(VLOOKUP(CY12,'Días laborables y festivos'!$E$5:$F$11,2,0)="Si",NOT(ISNUMBER(VLOOKUP(DATE($A$7,$A$9+1-1,CY11),Feriados,1,0)))),TRUE,FALSE),FALSE)</f>
        <v>0</v>
      </c>
      <c r="CZ10" s="10" t="b">
        <f>IFERROR(IF(AND(VLOOKUP(CZ12,'Días laborables y festivos'!$E$5:$F$11,2,0)="Si",NOT(ISNUMBER(VLOOKUP(DATE($A$7,$A$9+1-1,CZ11),Feriados,1,0)))),TRUE,FALSE),FALSE)</f>
        <v>0</v>
      </c>
      <c r="DA10" s="10" t="b">
        <f>IFERROR(IF(AND(VLOOKUP(DA12,'Días laborables y festivos'!$E$5:$F$11,2,0)="Si",NOT(ISNUMBER(VLOOKUP(DATE($A$7,$A$9+1-1,DA11),Feriados,1,0)))),TRUE,FALSE),FALSE)</f>
        <v>0</v>
      </c>
      <c r="DB10" s="10" t="b">
        <f>IFERROR(IF(AND(VLOOKUP(DB12,'Días laborables y festivos'!$E$5:$F$11,2,0)="Si",NOT(ISNUMBER(VLOOKUP(DATE($A$7,$A$9+1-1,DB11),Feriados,1,0)))),TRUE,FALSE),FALSE)</f>
        <v>0</v>
      </c>
      <c r="DC10" s="10" t="b">
        <f>IFERROR(IF(AND(VLOOKUP(DC12,'Días laborables y festivos'!$E$5:$F$11,2,0)="Si",NOT(ISNUMBER(VLOOKUP(DATE($A$7,$A$9+1-1,DC11),Feriados,1,0)))),TRUE,FALSE),FALSE)</f>
        <v>0</v>
      </c>
      <c r="DD10" s="10" t="b">
        <f>IFERROR(IF(AND(VLOOKUP(DD12,'Días laborables y festivos'!$E$5:$F$11,2,0)="Si",NOT(ISNUMBER(VLOOKUP(DATE($A$7,$A$9+1-1,DD11),Feriados,1,0)))),TRUE,FALSE),FALSE)</f>
        <v>0</v>
      </c>
      <c r="DE10" s="10" t="b">
        <f>IFERROR(IF(AND(VLOOKUP(DE12,'Días laborables y festivos'!$E$5:$F$11,2,0)="Si",NOT(ISNUMBER(VLOOKUP(DATE($A$7,$A$9+1-1,DE11),Feriados,1,0)))),TRUE,FALSE),FALSE)</f>
        <v>0</v>
      </c>
      <c r="DF10" s="10" t="b">
        <f>IFERROR(IF(AND(VLOOKUP(DF12,'Días laborables y festivos'!$E$5:$F$11,2,0)="Si",NOT(ISNUMBER(VLOOKUP(DATE($A$7,$A$9+1-1,DF11),Feriados,1,0)))),TRUE,FALSE),FALSE)</f>
        <v>0</v>
      </c>
      <c r="DG10" s="10" t="b">
        <f>IFERROR(IF(AND(VLOOKUP(DG12,'Días laborables y festivos'!$E$5:$F$11,2,0)="Si",NOT(ISNUMBER(VLOOKUP(DATE($A$7,$A$9+1-1,DG11),Feriados,1,0)))),TRUE,FALSE),FALSE)</f>
        <v>0</v>
      </c>
      <c r="DH10" s="10" t="b">
        <f>IFERROR(IF(AND(VLOOKUP(DH12,'Días laborables y festivos'!$E$5:$F$11,2,0)="Si",NOT(ISNUMBER(VLOOKUP(DATE($A$7,$A$9+1-1,DH11),Feriados,1,0)))),TRUE,FALSE),FALSE)</f>
        <v>0</v>
      </c>
      <c r="DI10" s="10" t="b">
        <f>IFERROR(IF(AND(VLOOKUP(DI12,'Días laborables y festivos'!$E$5:$F$11,2,0)="Si",NOT(ISNUMBER(VLOOKUP(DATE($A$7,$A$9+1-1,DI11),Feriados,1,0)))),TRUE,FALSE),FALSE)</f>
        <v>0</v>
      </c>
      <c r="DJ10" s="10" t="b">
        <f>IFERROR(IF(AND(VLOOKUP(DJ12,'Días laborables y festivos'!$E$5:$F$11,2,0)="Si",NOT(ISNUMBER(VLOOKUP(DATE($A$7,$A$9+1-1,DJ11),Feriados,1,0)))),TRUE,FALSE),FALSE)</f>
        <v>0</v>
      </c>
      <c r="DK10" s="10" t="b">
        <f>IFERROR(IF(AND(VLOOKUP(DK12,'Días laborables y festivos'!$E$5:$F$11,2,0)="Si",NOT(ISNUMBER(VLOOKUP(DATE($A$7,$A$9+1-1,DK11),Feriados,1,0)))),TRUE,FALSE),FALSE)</f>
        <v>0</v>
      </c>
      <c r="DL10" s="10" t="b">
        <f>IFERROR(IF(AND(VLOOKUP(DL12,'Días laborables y festivos'!$E$5:$F$11,2,0)="Si",NOT(ISNUMBER(VLOOKUP(DATE($A$7,$A$9+1-1,DL11),Feriados,1,0)))),TRUE,FALSE),FALSE)</f>
        <v>0</v>
      </c>
      <c r="DM10" s="10" t="b">
        <f>IFERROR(IF(AND(VLOOKUP(DM12,'Días laborables y festivos'!$E$5:$F$11,2,0)="Si",NOT(ISNUMBER(VLOOKUP(DATE($A$7,$A$9+1-1,DM11),Feriados,1,0)))),TRUE,FALSE),FALSE)</f>
        <v>0</v>
      </c>
      <c r="DN10" s="10" t="b">
        <f>IFERROR(IF(AND(VLOOKUP(DN12,'Días laborables y festivos'!$E$5:$F$11,2,0)="Si",NOT(ISNUMBER(VLOOKUP(DATE($A$7,$A$9+1-1,DN11),Feriados,1,0)))),TRUE,FALSE),FALSE)</f>
        <v>0</v>
      </c>
      <c r="DO10" s="10" t="b">
        <f>IFERROR(IF(AND(VLOOKUP(DO12,'Días laborables y festivos'!$E$5:$F$11,2,0)="Si",NOT(ISNUMBER(VLOOKUP(DATE($A$7,$A$9+1-1,DO11),Feriados,1,0)))),TRUE,FALSE),FALSE)</f>
        <v>0</v>
      </c>
      <c r="DP10" s="10" t="b">
        <f>IFERROR(IF(AND(VLOOKUP(DP12,'Días laborables y festivos'!$E$5:$F$11,2,0)="Si",NOT(ISNUMBER(VLOOKUP(DATE($A$7,$A$9+1-1,DP11),Feriados,1,0)))),TRUE,FALSE),FALSE)</f>
        <v>0</v>
      </c>
      <c r="DQ10" s="10" t="b">
        <f>IFERROR(IF(AND(VLOOKUP(DQ12,'Días laborables y festivos'!$E$5:$F$11,2,0)="Si",NOT(ISNUMBER(VLOOKUP(DATE($A$7,$A$9+1-1,DQ11),Feriados,1,0)))),TRUE,FALSE),FALSE)</f>
        <v>0</v>
      </c>
      <c r="DR10" s="10" t="b">
        <f>IFERROR(IF(AND(VLOOKUP(DR12,'Días laborables y festivos'!$E$5:$F$11,2,0)="Si",NOT(ISNUMBER(VLOOKUP(DATE($A$7,$A$9+1-1,DR11),Feriados,1,0)))),TRUE,FALSE),FALSE)</f>
        <v>0</v>
      </c>
      <c r="DS10" s="10" t="b">
        <f>IFERROR(IF(AND(VLOOKUP(DS12,'Días laborables y festivos'!$E$5:$F$11,2,0)="Si",NOT(ISNUMBER(VLOOKUP(DATE($A$7,$A$9+1-1,DS11),Feriados,1,0)))),TRUE,FALSE),FALSE)</f>
        <v>0</v>
      </c>
      <c r="DT10" s="10" t="b">
        <f>IFERROR(IF(AND(VLOOKUP(DT12,'Días laborables y festivos'!$E$5:$F$11,2,0)="Si",NOT(ISNUMBER(VLOOKUP(DATE($A$7,$A$9+1-1,DT11),Feriados,1,0)))),TRUE,FALSE),FALSE)</f>
        <v>0</v>
      </c>
      <c r="DU10" s="10" t="b">
        <f>IFERROR(IF(AND(VLOOKUP(DU12,'Días laborables y festivos'!$E$5:$F$11,2,0)="Si",NOT(ISNUMBER(VLOOKUP(DATE($A$7,$A$9+1-1,DU11),Feriados,1,0)))),TRUE,FALSE),FALSE)</f>
        <v>0</v>
      </c>
      <c r="DV10" s="10" t="b">
        <f>IFERROR(IF(AND(VLOOKUP(DV12,'Días laborables y festivos'!$E$5:$F$11,2,0)="Si",NOT(ISNUMBER(VLOOKUP(DATE($A$7,$A$9+1-1,DV11),Feriados,1,0)))),TRUE,FALSE),FALSE)</f>
        <v>0</v>
      </c>
      <c r="DW10" s="10" t="b">
        <f>IFERROR(IF(AND(VLOOKUP(DW12,'Días laborables y festivos'!$E$5:$F$11,2,0)="Si",NOT(ISNUMBER(VLOOKUP(DATE($A$7,$A$9+1-1,DW11),Feriados,1,0)))),TRUE,FALSE),FALSE)</f>
        <v>0</v>
      </c>
      <c r="DX10" s="10" t="b">
        <f>IFERROR(IF(AND(VLOOKUP(DX12,'Días laborables y festivos'!$E$5:$F$11,2,0)="Si",NOT(ISNUMBER(VLOOKUP(DATE($A$7,$A$9+1-1,DX11),Feriados,1,0)))),TRUE,FALSE),FALSE)</f>
        <v>0</v>
      </c>
      <c r="DY10" s="10" t="b">
        <f>IFERROR(IF(AND(VLOOKUP(DY12,'Días laborables y festivos'!$E$5:$F$11,2,0)="Si",NOT(ISNUMBER(VLOOKUP(DATE($A$7,$A$9+1-1,DY11),Feriados,1,0)))),TRUE,FALSE),FALSE)</f>
        <v>0</v>
      </c>
      <c r="DZ10" s="10" t="b">
        <f>IFERROR(IF(AND(VLOOKUP(DZ12,'Días laborables y festivos'!$E$5:$F$11,2,0)="Si",NOT(ISNUMBER(VLOOKUP(DATE($A$7,$A$9+1-1,DZ11),Feriados,1,0)))),TRUE,FALSE),FALSE)</f>
        <v>0</v>
      </c>
      <c r="EA10" s="10" t="b">
        <f>IFERROR(IF(AND(VLOOKUP(EA12,'Días laborables y festivos'!$E$5:$F$11,2,0)="Si",NOT(ISNUMBER(VLOOKUP(DATE($A$7,$A$9+1-1,EA11),Feriados,1,0)))),TRUE,FALSE),FALSE)</f>
        <v>0</v>
      </c>
      <c r="EB10" s="10" t="b">
        <f>IFERROR(IF(AND(VLOOKUP(EB12,'Días laborables y festivos'!$E$5:$F$11,2,0)="Si",NOT(ISNUMBER(VLOOKUP(DATE($A$7,$A$9+1-1,EB11),Feriados,1,0)))),TRUE,FALSE),FALSE)</f>
        <v>0</v>
      </c>
      <c r="EC10" s="10" t="b">
        <f>IFERROR(IF(AND(VLOOKUP(EC12,'Días laborables y festivos'!$E$5:$F$11,2,0)="Si",NOT(ISNUMBER(VLOOKUP(DATE($A$7,$A$9+1-1,EC11),Feriados,1,0)))),TRUE,FALSE),FALSE)</f>
        <v>0</v>
      </c>
      <c r="ED10" s="10" t="b">
        <f>IFERROR(IF(AND(VLOOKUP(ED12,'Días laborables y festivos'!$E$5:$F$11,2,0)="Si",NOT(ISNUMBER(VLOOKUP(DATE($A$7,$A$9+1-1,ED11),Feriados,1,0)))),TRUE,FALSE),FALSE)</f>
        <v>0</v>
      </c>
      <c r="EE10" s="10" t="b">
        <f>IFERROR(IF(AND(VLOOKUP(EE12,'Días laborables y festivos'!$E$5:$F$11,2,0)="Si",NOT(ISNUMBER(VLOOKUP(DATE($A$7,$A$9+1-1,EE11),Feriados,1,0)))),TRUE,FALSE),FALSE)</f>
        <v>0</v>
      </c>
      <c r="EF10" s="10" t="b">
        <f>IFERROR(IF(AND(VLOOKUP(EF12,'Días laborables y festivos'!$E$5:$F$11,2,0)="Si",NOT(ISNUMBER(VLOOKUP(DATE($A$7,$A$9+1-1,EF11),Feriados,1,0)))),TRUE,FALSE),FALSE)</f>
        <v>0</v>
      </c>
      <c r="EG10" s="10" t="b">
        <f>IFERROR(IF(AND(VLOOKUP(EG12,'Días laborables y festivos'!$E$5:$F$11,2,0)="Si",NOT(ISNUMBER(VLOOKUP(DATE($A$7,$A$9+1-1,EG11),Feriados,1,0)))),TRUE,FALSE),FALSE)</f>
        <v>0</v>
      </c>
      <c r="EH10" s="10" t="b">
        <f>IFERROR(IF(AND(VLOOKUP(EH12,'Días laborables y festivos'!$E$5:$F$11,2,0)="Si",NOT(ISNUMBER(VLOOKUP(DATE($A$7,$A$9+1-1,EH11),Feriados,1,0)))),TRUE,FALSE),FALSE)</f>
        <v>0</v>
      </c>
      <c r="EI10" s="10" t="b">
        <f>IFERROR(IF(AND(VLOOKUP(EI12,'Días laborables y festivos'!$E$5:$F$11,2,0)="Si",NOT(ISNUMBER(VLOOKUP(DATE($A$7,$A$9+1-1,EI11),Feriados,1,0)))),TRUE,FALSE),FALSE)</f>
        <v>0</v>
      </c>
      <c r="EJ10" s="10" t="b">
        <f>IFERROR(IF(AND(VLOOKUP(EJ12,'Días laborables y festivos'!$E$5:$F$11,2,0)="Si",NOT(ISNUMBER(VLOOKUP(DATE($A$7,$A$9+1-1,EJ11),Feriados,1,0)))),TRUE,FALSE),FALSE)</f>
        <v>0</v>
      </c>
      <c r="EK10" s="10" t="b">
        <f>IFERROR(IF(AND(VLOOKUP(EK12,'Días laborables y festivos'!$E$5:$F$11,2,0)="Si",NOT(ISNUMBER(VLOOKUP(DATE($A$7,$A$9+1-1,EK11),Feriados,1,0)))),TRUE,FALSE),FALSE)</f>
        <v>0</v>
      </c>
      <c r="EL10" s="10" t="b">
        <f>IFERROR(IF(AND(VLOOKUP(EL12,'Días laborables y festivos'!$E$5:$F$11,2,0)="Si",NOT(ISNUMBER(VLOOKUP(DATE($A$7,$A$9+1-1,EL11),Feriados,1,0)))),TRUE,FALSE),FALSE)</f>
        <v>0</v>
      </c>
      <c r="EM10" s="10" t="b">
        <f>IFERROR(IF(AND(VLOOKUP(EM12,'Días laborables y festivos'!$E$5:$F$11,2,0)="Si",NOT(ISNUMBER(VLOOKUP(DATE($A$7,$A$9+1-1,EM11),Feriados,1,0)))),TRUE,FALSE),FALSE)</f>
        <v>0</v>
      </c>
      <c r="EN10" s="10" t="b">
        <f>IFERROR(IF(AND(VLOOKUP(EN12,'Días laborables y festivos'!$E$5:$F$11,2,0)="Si",NOT(ISNUMBER(VLOOKUP(DATE($A$7,$A$9+1-1,EN11),Feriados,1,0)))),TRUE,FALSE),FALSE)</f>
        <v>0</v>
      </c>
      <c r="EO10" s="10" t="b">
        <f>IFERROR(IF(AND(VLOOKUP(EO12,'Días laborables y festivos'!$E$5:$F$11,2,0)="Si",NOT(ISNUMBER(VLOOKUP(DATE($A$7,$A$9+1-1,EO11),Feriados,1,0)))),TRUE,FALSE),FALSE)</f>
        <v>0</v>
      </c>
      <c r="EP10" s="10" t="b">
        <f>IFERROR(IF(AND(VLOOKUP(EP12,'Días laborables y festivos'!$E$5:$F$11,2,0)="Si",NOT(ISNUMBER(VLOOKUP(DATE($A$7,$A$9+1-1,EP11),Feriados,1,0)))),TRUE,FALSE),FALSE)</f>
        <v>0</v>
      </c>
      <c r="EQ10" s="10" t="b">
        <f>IFERROR(IF(AND(VLOOKUP(EQ12,'Días laborables y festivos'!$E$5:$F$11,2,0)="Si",NOT(ISNUMBER(VLOOKUP(DATE($A$7,$A$9+1-1,EQ11),Feriados,1,0)))),TRUE,FALSE),FALSE)</f>
        <v>0</v>
      </c>
      <c r="ER10" s="10" t="b">
        <f>IFERROR(IF(AND(VLOOKUP(ER12,'Días laborables y festivos'!$E$5:$F$11,2,0)="Si",NOT(ISNUMBER(VLOOKUP(DATE($A$7,$A$9+1-1,ER11),Feriados,1,0)))),TRUE,FALSE),FALSE)</f>
        <v>0</v>
      </c>
      <c r="ES10" s="10" t="b">
        <f>IFERROR(IF(AND(VLOOKUP(ES12,'Días laborables y festivos'!$E$5:$F$11,2,0)="Si",NOT(ISNUMBER(VLOOKUP(DATE($A$7,$A$9+1-1,ES11),Feriados,1,0)))),TRUE,FALSE),FALSE)</f>
        <v>0</v>
      </c>
      <c r="ET10" s="10" t="b">
        <f>IFERROR(IF(AND(VLOOKUP(ET12,'Días laborables y festivos'!$E$5:$F$11,2,0)="Si",NOT(ISNUMBER(VLOOKUP(DATE($A$7,$A$9+1-1,ET11),Feriados,1,0)))),TRUE,FALSE),FALSE)</f>
        <v>0</v>
      </c>
      <c r="EU10" s="10" t="b">
        <f>IFERROR(IF(AND(VLOOKUP(EU12,'Días laborables y festivos'!$E$5:$F$11,2,0)="Si",NOT(ISNUMBER(VLOOKUP(DATE($A$7,$A$9+1-1,EU11),Feriados,1,0)))),TRUE,FALSE),FALSE)</f>
        <v>0</v>
      </c>
      <c r="EV10" s="10" t="b">
        <f>IFERROR(IF(AND(VLOOKUP(EV12,'Días laborables y festivos'!$E$5:$F$11,2,0)="Si",NOT(ISNUMBER(VLOOKUP(DATE($A$7,$A$9+1-1,EV11),Feriados,1,0)))),TRUE,FALSE),FALSE)</f>
        <v>0</v>
      </c>
      <c r="EW10" s="10" t="b">
        <f>IFERROR(IF(AND(VLOOKUP(EW12,'Días laborables y festivos'!$E$5:$F$11,2,0)="Si",NOT(ISNUMBER(VLOOKUP(DATE($A$7,$A$9+1-1,EW11),Feriados,1,0)))),TRUE,FALSE),FALSE)</f>
        <v>0</v>
      </c>
      <c r="EX10" s="10" t="b">
        <f>IFERROR(IF(AND(VLOOKUP(EX12,'Días laborables y festivos'!$E$5:$F$11,2,0)="Si",NOT(ISNUMBER(VLOOKUP(DATE($A$7,$A$9+1-1,EX11),Feriados,1,0)))),TRUE,FALSE),FALSE)</f>
        <v>0</v>
      </c>
      <c r="EY10" s="10" t="b">
        <f>IFERROR(IF(AND(VLOOKUP(EY12,'Días laborables y festivos'!$E$5:$F$11,2,0)="Si",NOT(ISNUMBER(VLOOKUP(DATE($A$7,$A$9+1-1,EY11),Feriados,1,0)))),TRUE,FALSE),FALSE)</f>
        <v>0</v>
      </c>
      <c r="EZ10" s="10" t="b">
        <f>IFERROR(IF(AND(VLOOKUP(EZ12,'Días laborables y festivos'!$E$5:$F$11,2,0)="Si",NOT(ISNUMBER(VLOOKUP(DATE($A$7,$A$9+1-1,EZ11),Feriados,1,0)))),TRUE,FALSE),FALSE)</f>
        <v>0</v>
      </c>
      <c r="FA10" s="10" t="b">
        <f>IFERROR(IF(AND(VLOOKUP(FA12,'Días laborables y festivos'!$E$5:$F$11,2,0)="Si",NOT(ISNUMBER(VLOOKUP(DATE($A$7,$A$9+1-1,FA11),Feriados,1,0)))),TRUE,FALSE),FALSE)</f>
        <v>0</v>
      </c>
      <c r="FB10" s="10" t="b">
        <f>IFERROR(IF(AND(VLOOKUP(FB12,'Días laborables y festivos'!$E$5:$F$11,2,0)="Si",NOT(ISNUMBER(VLOOKUP(DATE($A$7,$A$9+1-1,FB11),Feriados,1,0)))),TRUE,FALSE),FALSE)</f>
        <v>0</v>
      </c>
      <c r="FC10" s="10" t="b">
        <f>IFERROR(IF(AND(VLOOKUP(FC12,'Días laborables y festivos'!$E$5:$F$11,2,0)="Si",NOT(ISNUMBER(VLOOKUP(DATE($A$7,$A$9+1-1,FC11),Feriados,1,0)))),TRUE,FALSE),FALSE)</f>
        <v>0</v>
      </c>
      <c r="FD10" s="10" t="b">
        <f>IFERROR(IF(AND(VLOOKUP(FD12,'Días laborables y festivos'!$E$5:$F$11,2,0)="Si",NOT(ISNUMBER(VLOOKUP(DATE($A$7,$A$9+1-1,FD11),Feriados,1,0)))),TRUE,FALSE),FALSE)</f>
        <v>0</v>
      </c>
      <c r="FE10" s="10" t="b">
        <f>IFERROR(IF(AND(VLOOKUP(FE12,'Días laborables y festivos'!$E$5:$F$11,2,0)="Si",NOT(ISNUMBER(VLOOKUP(DATE($A$7,$A$9+1-1,FE11),Feriados,1,0)))),TRUE,FALSE),FALSE)</f>
        <v>0</v>
      </c>
      <c r="FF10" s="10" t="b">
        <f>IFERROR(IF(AND(VLOOKUP(FF12,'Días laborables y festivos'!$E$5:$F$11,2,0)="Si",NOT(ISNUMBER(VLOOKUP(DATE($A$7,$A$9+1-1,FF11),Feriados,1,0)))),TRUE,FALSE),FALSE)</f>
        <v>0</v>
      </c>
      <c r="FG10" s="10" t="b">
        <f>IFERROR(IF(AND(VLOOKUP(FG12,'Días laborables y festivos'!$E$5:$F$11,2,0)="Si",NOT(ISNUMBER(VLOOKUP(DATE($A$7,$A$9+1-1,FG11),Feriados,1,0)))),TRUE,FALSE),FALSE)</f>
        <v>0</v>
      </c>
      <c r="FH10" s="10" t="b">
        <f>IFERROR(IF(AND(VLOOKUP(FH12,'Días laborables y festivos'!$E$5:$F$11,2,0)="Si",NOT(ISNUMBER(VLOOKUP(DATE($A$7,$A$9+1-1,FH11),Feriados,1,0)))),TRUE,FALSE),FALSE)</f>
        <v>0</v>
      </c>
      <c r="FI10" s="10" t="b">
        <f>IFERROR(IF(AND(VLOOKUP(FI12,'Días laborables y festivos'!$E$5:$F$11,2,0)="Si",NOT(ISNUMBER(VLOOKUP(DATE($A$7,$A$9+1-1,FI11),Feriados,1,0)))),TRUE,FALSE),FALSE)</f>
        <v>0</v>
      </c>
      <c r="FJ10" s="10" t="b">
        <f>IFERROR(IF(AND(VLOOKUP(FJ12,'Días laborables y festivos'!$E$5:$F$11,2,0)="Si",NOT(ISNUMBER(VLOOKUP(DATE($A$7,$A$9+1-1,FJ11),Feriados,1,0)))),TRUE,FALSE),FALSE)</f>
        <v>0</v>
      </c>
      <c r="FK10" s="10" t="b">
        <f>IFERROR(IF(AND(VLOOKUP(FK12,'Días laborables y festivos'!$E$5:$F$11,2,0)="Si",NOT(ISNUMBER(VLOOKUP(DATE($A$7,$A$9+1-1,FK11),Feriados,1,0)))),TRUE,FALSE),FALSE)</f>
        <v>0</v>
      </c>
      <c r="FL10" s="10" t="b">
        <f>IFERROR(IF(AND(VLOOKUP(FL12,'Días laborables y festivos'!$E$5:$F$11,2,0)="Si",NOT(ISNUMBER(VLOOKUP(DATE($A$7,$A$9+1-1,FL11),Feriados,1,0)))),TRUE,FALSE),FALSE)</f>
        <v>0</v>
      </c>
      <c r="FM10" s="10" t="b">
        <f>IFERROR(IF(AND(VLOOKUP(FM12,'Días laborables y festivos'!$E$5:$F$11,2,0)="Si",NOT(ISNUMBER(VLOOKUP(DATE($A$7,$A$9+1-1,FM11),Feriados,1,0)))),TRUE,FALSE),FALSE)</f>
        <v>0</v>
      </c>
      <c r="FN10" s="10" t="b">
        <f>IFERROR(IF(AND(VLOOKUP(FN12,'Días laborables y festivos'!$E$5:$F$11,2,0)="Si",NOT(ISNUMBER(VLOOKUP(DATE($A$7,$A$9+1-1,FN11),Feriados,1,0)))),TRUE,FALSE),FALSE)</f>
        <v>0</v>
      </c>
      <c r="FO10" s="10" t="b">
        <f>IFERROR(IF(AND(VLOOKUP(FO12,'Días laborables y festivos'!$E$5:$F$11,2,0)="Si",NOT(ISNUMBER(VLOOKUP(DATE($A$7,$A$9+1-1,FO11),Feriados,1,0)))),TRUE,FALSE),FALSE)</f>
        <v>0</v>
      </c>
      <c r="FP10" s="10" t="b">
        <f>IFERROR(IF(AND(VLOOKUP(FP12,'Días laborables y festivos'!$E$5:$F$11,2,0)="Si",NOT(ISNUMBER(VLOOKUP(DATE($A$7,$A$9+1-1,FP11),Feriados,1,0)))),TRUE,FALSE),FALSE)</f>
        <v>0</v>
      </c>
      <c r="FQ10" s="10" t="b">
        <f>IFERROR(IF(AND(VLOOKUP(FQ12,'Días laborables y festivos'!$E$5:$F$11,2,0)="Si",NOT(ISNUMBER(VLOOKUP(DATE($A$7,$A$9+1-1,FQ11),Feriados,1,0)))),TRUE,FALSE),FALSE)</f>
        <v>0</v>
      </c>
      <c r="FR10" s="10" t="b">
        <f>IFERROR(IF(AND(VLOOKUP(FR12,'Días laborables y festivos'!$E$5:$F$11,2,0)="Si",NOT(ISNUMBER(VLOOKUP(DATE($A$7,$A$9+1-1,FR11),Feriados,1,0)))),TRUE,FALSE),FALSE)</f>
        <v>0</v>
      </c>
      <c r="FS10" s="10" t="b">
        <f>IFERROR(IF(AND(VLOOKUP(FS12,'Días laborables y festivos'!$E$5:$F$11,2,0)="Si",NOT(ISNUMBER(VLOOKUP(DATE($A$7,$A$9+1-1,FS11),Feriados,1,0)))),TRUE,FALSE),FALSE)</f>
        <v>0</v>
      </c>
      <c r="FT10" s="10" t="b">
        <f>IFERROR(IF(AND(VLOOKUP(FT12,'Días laborables y festivos'!$E$5:$F$11,2,0)="Si",NOT(ISNUMBER(VLOOKUP(DATE($A$7,$A$9+1-1,FT11),Feriados,1,0)))),TRUE,FALSE),FALSE)</f>
        <v>0</v>
      </c>
      <c r="FU10" s="10" t="b">
        <f>IFERROR(IF(AND(VLOOKUP(FU12,'Días laborables y festivos'!$E$5:$F$11,2,0)="Si",NOT(ISNUMBER(VLOOKUP(DATE($A$7,$A$9+1-1,FU11),Feriados,1,0)))),TRUE,FALSE),FALSE)</f>
        <v>0</v>
      </c>
      <c r="FV10" s="10" t="b">
        <f>IFERROR(IF(AND(VLOOKUP(FV12,'Días laborables y festivos'!$E$5:$F$11,2,0)="Si",NOT(ISNUMBER(VLOOKUP(DATE($A$7,$A$9+1-1,FV11),Feriados,1,0)))),TRUE,FALSE),FALSE)</f>
        <v>0</v>
      </c>
      <c r="FW10" s="10" t="b">
        <f>IFERROR(IF(AND(VLOOKUP(FW12,'Días laborables y festivos'!$E$5:$F$11,2,0)="Si",NOT(ISNUMBER(VLOOKUP(DATE($A$7,$A$9+1-1,FW11),Feriados,1,0)))),TRUE,FALSE),FALSE)</f>
        <v>0</v>
      </c>
      <c r="FX10" s="10" t="b">
        <f>IFERROR(IF(AND(VLOOKUP(FX12,'Días laborables y festivos'!$E$5:$F$11,2,0)="Si",NOT(ISNUMBER(VLOOKUP(DATE($A$7,$A$9+1-1,FX11),Feriados,1,0)))),TRUE,FALSE),FALSE)</f>
        <v>0</v>
      </c>
      <c r="FY10" s="10" t="b">
        <f>IFERROR(IF(AND(VLOOKUP(FY12,'Días laborables y festivos'!$E$5:$F$11,2,0)="Si",NOT(ISNUMBER(VLOOKUP(DATE($A$7,$A$9+1-1,FY11),Feriados,1,0)))),TRUE,FALSE),FALSE)</f>
        <v>0</v>
      </c>
      <c r="FZ10" s="10" t="b">
        <f>IFERROR(IF(AND(VLOOKUP(FZ12,'Días laborables y festivos'!$E$5:$F$11,2,0)="Si",NOT(ISNUMBER(VLOOKUP(DATE($A$7,$A$9+1-1,FZ11),Feriados,1,0)))),TRUE,FALSE),FALSE)</f>
        <v>0</v>
      </c>
      <c r="GA10" s="10" t="b">
        <f>IFERROR(IF(AND(VLOOKUP(GA12,'Días laborables y festivos'!$E$5:$F$11,2,0)="Si",NOT(ISNUMBER(VLOOKUP(DATE($A$7,$A$9+1-1,GA11),Feriados,1,0)))),TRUE,FALSE),FALSE)</f>
        <v>0</v>
      </c>
      <c r="GB10" s="10" t="b">
        <f>IFERROR(IF(AND(VLOOKUP(GB12,'Días laborables y festivos'!$E$5:$F$11,2,0)="Si",NOT(ISNUMBER(VLOOKUP(DATE($A$7,$A$9+1-1,GB11),Feriados,1,0)))),TRUE,FALSE),FALSE)</f>
        <v>0</v>
      </c>
      <c r="GC10" s="10" t="b">
        <f>IFERROR(IF(AND(VLOOKUP(GC12,'Días laborables y festivos'!$E$5:$F$11,2,0)="Si",NOT(ISNUMBER(VLOOKUP(DATE($A$7,$A$9+1-1,GC11),Feriados,1,0)))),TRUE,FALSE),FALSE)</f>
        <v>0</v>
      </c>
      <c r="GD10" s="10" t="b">
        <f>IFERROR(IF(AND(VLOOKUP(GD12,'Días laborables y festivos'!$E$5:$F$11,2,0)="Si",NOT(ISNUMBER(VLOOKUP(DATE($A$7,$A$9+1-1,GD11),Feriados,1,0)))),TRUE,FALSE),FALSE)</f>
        <v>0</v>
      </c>
      <c r="GE10" s="10" t="b">
        <f>IFERROR(IF(AND(VLOOKUP(GE12,'Días laborables y festivos'!$E$5:$F$11,2,0)="Si",NOT(ISNUMBER(VLOOKUP(DATE($A$7,$A$9+1-1,GE11),Feriados,1,0)))),TRUE,FALSE),FALSE)</f>
        <v>0</v>
      </c>
      <c r="GF10" s="10" t="b">
        <f>IFERROR(IF(AND(VLOOKUP(GF12,'Días laborables y festivos'!$E$5:$F$11,2,0)="Si",NOT(ISNUMBER(VLOOKUP(DATE($A$7,$A$9+1-1,GF11),Feriados,1,0)))),TRUE,FALSE),FALSE)</f>
        <v>0</v>
      </c>
      <c r="GG10" s="10" t="b">
        <f>IFERROR(IF(AND(VLOOKUP(GG12,'Días laborables y festivos'!$E$5:$F$11,2,0)="Si",NOT(ISNUMBER(VLOOKUP(DATE($A$7,$A$9+1-1,GG11),Feriados,1,0)))),TRUE,FALSE),FALSE)</f>
        <v>0</v>
      </c>
      <c r="GH10" s="10" t="b">
        <f>IFERROR(IF(AND(VLOOKUP(GH12,'Días laborables y festivos'!$E$5:$F$11,2,0)="Si",NOT(ISNUMBER(VLOOKUP(DATE($A$7,$A$9+1-1,GH11),Feriados,1,0)))),TRUE,FALSE),FALSE)</f>
        <v>0</v>
      </c>
      <c r="GI10" s="10" t="b">
        <f>IFERROR(IF(AND(VLOOKUP(GI12,'Días laborables y festivos'!$E$5:$F$11,2,0)="Si",NOT(ISNUMBER(VLOOKUP(DATE($A$7,$A$9+1-1,GI11),Feriados,1,0)))),TRUE,FALSE),FALSE)</f>
        <v>0</v>
      </c>
      <c r="GJ10" s="10" t="b">
        <f>IFERROR(IF(AND(VLOOKUP(GJ12,'Días laborables y festivos'!$E$5:$F$11,2,0)="Si",NOT(ISNUMBER(VLOOKUP(DATE($A$7,$A$9+1-1,GJ11),Feriados,1,0)))),TRUE,FALSE),FALSE)</f>
        <v>0</v>
      </c>
      <c r="GK10" s="10" t="b">
        <f>IFERROR(IF(AND(VLOOKUP(GK12,'Días laborables y festivos'!$E$5:$F$11,2,0)="Si",NOT(ISNUMBER(VLOOKUP(DATE($A$7,$A$9+1-1,GK11),Feriados,1,0)))),TRUE,FALSE),FALSE)</f>
        <v>0</v>
      </c>
      <c r="GL10" s="10" t="b">
        <f>IFERROR(IF(AND(VLOOKUP(GL12,'Días laborables y festivos'!$E$5:$F$11,2,0)="Si",NOT(ISNUMBER(VLOOKUP(DATE($A$7,$A$9+1-1,GL11),Feriados,1,0)))),TRUE,FALSE),FALSE)</f>
        <v>0</v>
      </c>
      <c r="GM10" s="10" t="b">
        <f>IFERROR(IF(AND(VLOOKUP(GM12,'Días laborables y festivos'!$E$5:$F$11,2,0)="Si",NOT(ISNUMBER(VLOOKUP(DATE($A$7,$A$9+1-1,GM11),Feriados,1,0)))),TRUE,FALSE),FALSE)</f>
        <v>0</v>
      </c>
      <c r="GN10" s="10" t="b">
        <f>IFERROR(IF(AND(VLOOKUP(GN12,'Días laborables y festivos'!$E$5:$F$11,2,0)="Si",NOT(ISNUMBER(VLOOKUP(DATE($A$7,$A$9+1-1,GN11),Feriados,1,0)))),TRUE,FALSE),FALSE)</f>
        <v>0</v>
      </c>
      <c r="GO10" s="10" t="b">
        <f>IFERROR(IF(AND(VLOOKUP(GO12,'Días laborables y festivos'!$E$5:$F$11,2,0)="Si",NOT(ISNUMBER(VLOOKUP(DATE($A$7,$A$9+1-1,GO11),Feriados,1,0)))),TRUE,FALSE),FALSE)</f>
        <v>0</v>
      </c>
      <c r="GP10" s="10" t="b">
        <f>IFERROR(IF(AND(VLOOKUP(GP12,'Días laborables y festivos'!$E$5:$F$11,2,0)="Si",NOT(ISNUMBER(VLOOKUP(DATE($A$7,$A$9+1-1,GP11),Feriados,1,0)))),TRUE,FALSE),FALSE)</f>
        <v>0</v>
      </c>
      <c r="GQ10" s="10" t="b">
        <f>IFERROR(IF(AND(VLOOKUP(GQ12,'Días laborables y festivos'!$E$5:$F$11,2,0)="Si",NOT(ISNUMBER(VLOOKUP(DATE($A$7,$A$9+1-1,GQ11),Feriados,1,0)))),TRUE,FALSE),FALSE)</f>
        <v>0</v>
      </c>
      <c r="GR10" s="10" t="b">
        <f>IFERROR(IF(AND(VLOOKUP(GR12,'Días laborables y festivos'!$E$5:$F$11,2,0)="Si",NOT(ISNUMBER(VLOOKUP(DATE($A$7,$A$9+1-1,GR11),Feriados,1,0)))),TRUE,FALSE),FALSE)</f>
        <v>0</v>
      </c>
      <c r="GS10" s="10" t="b">
        <f>IFERROR(IF(AND(VLOOKUP(GS12,'Días laborables y festivos'!$E$5:$F$11,2,0)="Si",NOT(ISNUMBER(VLOOKUP(DATE($A$7,$A$9+1-1,GS11),Feriados,1,0)))),TRUE,FALSE),FALSE)</f>
        <v>0</v>
      </c>
      <c r="GT10" s="10" t="b">
        <f>IFERROR(IF(AND(VLOOKUP(GT12,'Días laborables y festivos'!$E$5:$F$11,2,0)="Si",NOT(ISNUMBER(VLOOKUP(DATE($A$7,$A$9+1-1,GT11),Feriados,1,0)))),TRUE,FALSE),FALSE)</f>
        <v>0</v>
      </c>
      <c r="GU10" s="10" t="b">
        <f>IFERROR(IF(AND(VLOOKUP(GU12,'Días laborables y festivos'!$E$5:$F$11,2,0)="Si",NOT(ISNUMBER(VLOOKUP(DATE($A$7,$A$9+1-1,GU11),Feriados,1,0)))),TRUE,FALSE),FALSE)</f>
        <v>0</v>
      </c>
      <c r="GV10" s="10" t="b">
        <f>IFERROR(IF(AND(VLOOKUP(GV12,'Días laborables y festivos'!$E$5:$F$11,2,0)="Si",NOT(ISNUMBER(VLOOKUP(DATE($A$7,$A$9+1-1,GV11),Feriados,1,0)))),TRUE,FALSE),FALSE)</f>
        <v>0</v>
      </c>
      <c r="GW10" s="10" t="b">
        <f>IFERROR(IF(AND(VLOOKUP(GW12,'Días laborables y festivos'!$E$5:$F$11,2,0)="Si",NOT(ISNUMBER(VLOOKUP(DATE($A$7,$A$9+1-1,GW11),Feriados,1,0)))),TRUE,FALSE),FALSE)</f>
        <v>0</v>
      </c>
      <c r="GX10" s="10" t="b">
        <f>IFERROR(IF(AND(VLOOKUP(GX12,'Días laborables y festivos'!$E$5:$F$11,2,0)="Si",NOT(ISNUMBER(VLOOKUP(DATE($A$7,$A$9+1-1,GX11),Feriados,1,0)))),TRUE,FALSE),FALSE)</f>
        <v>0</v>
      </c>
      <c r="GY10" s="10" t="b">
        <f>IFERROR(IF(AND(VLOOKUP(GY12,'Días laborables y festivos'!$E$5:$F$11,2,0)="Si",NOT(ISNUMBER(VLOOKUP(DATE($A$7,$A$9+1-1,GY11),Feriados,1,0)))),TRUE,FALSE),FALSE)</f>
        <v>0</v>
      </c>
      <c r="GZ10" s="10" t="b">
        <f>IFERROR(IF(AND(VLOOKUP(GZ12,'Días laborables y festivos'!$E$5:$F$11,2,0)="Si",NOT(ISNUMBER(VLOOKUP(DATE($A$7,$A$9+1-1,GZ11),Feriados,1,0)))),TRUE,FALSE),FALSE)</f>
        <v>0</v>
      </c>
      <c r="HA10" s="10" t="b">
        <f>IFERROR(IF(AND(VLOOKUP(HA12,'Días laborables y festivos'!$E$5:$F$11,2,0)="Si",NOT(ISNUMBER(VLOOKUP(DATE($A$7,$A$9+1-1,HA11),Feriados,1,0)))),TRUE,FALSE),FALSE)</f>
        <v>0</v>
      </c>
      <c r="HB10" s="10" t="b">
        <f>IFERROR(IF(AND(VLOOKUP(HB12,'Días laborables y festivos'!$E$5:$F$11,2,0)="Si",NOT(ISNUMBER(VLOOKUP(DATE($A$7,$A$9+1-1,HB11),Feriados,1,0)))),TRUE,FALSE),FALSE)</f>
        <v>0</v>
      </c>
      <c r="HC10" s="10" t="b">
        <f>IFERROR(IF(AND(VLOOKUP(HC12,'Días laborables y festivos'!$E$5:$F$11,2,0)="Si",NOT(ISNUMBER(VLOOKUP(DATE($A$7,$A$9+1-1,HC11),Feriados,1,0)))),TRUE,FALSE),FALSE)</f>
        <v>0</v>
      </c>
      <c r="HD10" s="10" t="b">
        <f>IFERROR(IF(AND(VLOOKUP(HD12,'Días laborables y festivos'!$E$5:$F$11,2,0)="Si",NOT(ISNUMBER(VLOOKUP(DATE($A$7,$A$9+1-1,HD11),Feriados,1,0)))),TRUE,FALSE),FALSE)</f>
        <v>0</v>
      </c>
      <c r="HE10" s="10" t="b">
        <f>IFERROR(IF(AND(VLOOKUP(HE12,'Días laborables y festivos'!$E$5:$F$11,2,0)="Si",NOT(ISNUMBER(VLOOKUP(DATE($A$7,$A$9+1-1,HE11),Feriados,1,0)))),TRUE,FALSE),FALSE)</f>
        <v>0</v>
      </c>
      <c r="HF10" s="10" t="b">
        <f>IFERROR(IF(AND(VLOOKUP(HF12,'Días laborables y festivos'!$E$5:$F$11,2,0)="Si",NOT(ISNUMBER(VLOOKUP(DATE($A$7,$A$9+1-1,HF11),Feriados,1,0)))),TRUE,FALSE),FALSE)</f>
        <v>0</v>
      </c>
      <c r="HG10" s="10" t="b">
        <f>IFERROR(IF(AND(VLOOKUP(HG12,'Días laborables y festivos'!$E$5:$F$11,2,0)="Si",NOT(ISNUMBER(VLOOKUP(DATE($A$7,$A$9+1-1,HG11),Feriados,1,0)))),TRUE,FALSE),FALSE)</f>
        <v>0</v>
      </c>
      <c r="HH10" s="10" t="b">
        <f>IFERROR(IF(AND(VLOOKUP(HH12,'Días laborables y festivos'!$E$5:$F$11,2,0)="Si",NOT(ISNUMBER(VLOOKUP(DATE($A$7,$A$9+1-1,HH11),Feriados,1,0)))),TRUE,FALSE),FALSE)</f>
        <v>0</v>
      </c>
      <c r="HI10" s="10" t="b">
        <f>IFERROR(IF(AND(VLOOKUP(HI12,'Días laborables y festivos'!$E$5:$F$11,2,0)="Si",NOT(ISNUMBER(VLOOKUP(DATE($A$7,$A$9+1-1,HI11),Feriados,1,0)))),TRUE,FALSE),FALSE)</f>
        <v>0</v>
      </c>
      <c r="HJ10" s="10" t="b">
        <f>IFERROR(IF(AND(VLOOKUP(HJ12,'Días laborables y festivos'!$E$5:$F$11,2,0)="Si",NOT(ISNUMBER(VLOOKUP(DATE($A$7,$A$9+1-1,HJ11),Feriados,1,0)))),TRUE,FALSE),FALSE)</f>
        <v>0</v>
      </c>
      <c r="HK10" s="10" t="b">
        <f>IFERROR(IF(AND(VLOOKUP(HK12,'Días laborables y festivos'!$E$5:$F$11,2,0)="Si",NOT(ISNUMBER(VLOOKUP(DATE($A$7,$A$9+1-1,HK11),Feriados,1,0)))),TRUE,FALSE),FALSE)</f>
        <v>0</v>
      </c>
      <c r="HL10" s="10" t="b">
        <f>IFERROR(IF(AND(VLOOKUP(HL12,'Días laborables y festivos'!$E$5:$F$11,2,0)="Si",NOT(ISNUMBER(VLOOKUP(DATE($A$7,$A$9+1-1,HL11),Feriados,1,0)))),TRUE,FALSE),FALSE)</f>
        <v>0</v>
      </c>
      <c r="HM10" s="10" t="b">
        <f>IFERROR(IF(AND(VLOOKUP(HM12,'Días laborables y festivos'!$E$5:$F$11,2,0)="Si",NOT(ISNUMBER(VLOOKUP(DATE($A$7,$A$9+1-1,HM11),Feriados,1,0)))),TRUE,FALSE),FALSE)</f>
        <v>0</v>
      </c>
      <c r="HN10" s="10" t="b">
        <f>IFERROR(IF(AND(VLOOKUP(HN12,'Días laborables y festivos'!$E$5:$F$11,2,0)="Si",NOT(ISNUMBER(VLOOKUP(DATE($A$7,$A$9+1-1,HN11),Feriados,1,0)))),TRUE,FALSE),FALSE)</f>
        <v>0</v>
      </c>
      <c r="HO10" s="10" t="b">
        <f>IFERROR(IF(AND(VLOOKUP(HO12,'Días laborables y festivos'!$E$5:$F$11,2,0)="Si",NOT(ISNUMBER(VLOOKUP(DATE($A$7,$A$9+1-1,HO11),Feriados,1,0)))),TRUE,FALSE),FALSE)</f>
        <v>0</v>
      </c>
      <c r="HP10" s="10" t="b">
        <f>IFERROR(IF(AND(VLOOKUP(HP12,'Días laborables y festivos'!$E$5:$F$11,2,0)="Si",NOT(ISNUMBER(VLOOKUP(DATE($A$7,$A$9+1-1,HP11),Feriados,1,0)))),TRUE,FALSE),FALSE)</f>
        <v>0</v>
      </c>
      <c r="HQ10" s="10" t="b">
        <f>IFERROR(IF(AND(VLOOKUP(HQ12,'Días laborables y festivos'!$E$5:$F$11,2,0)="Si",NOT(ISNUMBER(VLOOKUP(DATE($A$7,$A$9+1-1,HQ11),Feriados,1,0)))),TRUE,FALSE),FALSE)</f>
        <v>0</v>
      </c>
      <c r="HR10" s="10" t="b">
        <f>IFERROR(IF(AND(VLOOKUP(HR12,'Días laborables y festivos'!$E$5:$F$11,2,0)="Si",NOT(ISNUMBER(VLOOKUP(DATE($A$7,$A$9+1-1,HR11),Feriados,1,0)))),TRUE,FALSE),FALSE)</f>
        <v>0</v>
      </c>
      <c r="HS10" s="10" t="b">
        <f>IFERROR(IF(AND(VLOOKUP(HS12,'Días laborables y festivos'!$E$5:$F$11,2,0)="Si",NOT(ISNUMBER(VLOOKUP(DATE($A$7,$A$9+1-1,HS11),Feriados,1,0)))),TRUE,FALSE),FALSE)</f>
        <v>0</v>
      </c>
      <c r="HT10" s="10" t="b">
        <f>IFERROR(IF(AND(VLOOKUP(HT12,'Días laborables y festivos'!$E$5:$F$11,2,0)="Si",NOT(ISNUMBER(VLOOKUP(DATE($A$7,$A$9+1-1,HT11),Feriados,1,0)))),TRUE,FALSE),FALSE)</f>
        <v>0</v>
      </c>
      <c r="HU10" s="10" t="b">
        <f>IFERROR(IF(AND(VLOOKUP(HU12,'Días laborables y festivos'!$E$5:$F$11,2,0)="Si",NOT(ISNUMBER(VLOOKUP(DATE($A$7,$A$9+1-1,HU11),Feriados,1,0)))),TRUE,FALSE),FALSE)</f>
        <v>0</v>
      </c>
      <c r="HV10" s="10" t="b">
        <f>IFERROR(IF(AND(VLOOKUP(HV12,'Días laborables y festivos'!$E$5:$F$11,2,0)="Si",NOT(ISNUMBER(VLOOKUP(DATE($A$7,$A$9+1-1,HV11),Feriados,1,0)))),TRUE,FALSE),FALSE)</f>
        <v>0</v>
      </c>
      <c r="HW10" s="10" t="b">
        <f>IFERROR(IF(AND(VLOOKUP(HW12,'Días laborables y festivos'!$E$5:$F$11,2,0)="Si",NOT(ISNUMBER(VLOOKUP(DATE($A$7,$A$9+1-1,HW11),Feriados,1,0)))),TRUE,FALSE),FALSE)</f>
        <v>0</v>
      </c>
      <c r="HX10" s="10" t="b">
        <f>IFERROR(IF(AND(VLOOKUP(HX12,'Días laborables y festivos'!$E$5:$F$11,2,0)="Si",NOT(ISNUMBER(VLOOKUP(DATE($A$7,$A$9+1-1,HX11),Feriados,1,0)))),TRUE,FALSE),FALSE)</f>
        <v>0</v>
      </c>
      <c r="HY10" s="10" t="b">
        <f>IFERROR(IF(AND(VLOOKUP(HY12,'Días laborables y festivos'!$E$5:$F$11,2,0)="Si",NOT(ISNUMBER(VLOOKUP(DATE($A$7,$A$9+1-1,HY11),Feriados,1,0)))),TRUE,FALSE),FALSE)</f>
        <v>0</v>
      </c>
      <c r="HZ10" s="10" t="b">
        <f>IFERROR(IF(AND(VLOOKUP(HZ12,'Días laborables y festivos'!$E$5:$F$11,2,0)="Si",NOT(ISNUMBER(VLOOKUP(DATE($A$7,$A$9+1-1,HZ11),Feriados,1,0)))),TRUE,FALSE),FALSE)</f>
        <v>0</v>
      </c>
      <c r="IA10" s="10" t="b">
        <f>IFERROR(IF(AND(VLOOKUP(IA12,'Días laborables y festivos'!$E$5:$F$11,2,0)="Si",NOT(ISNUMBER(VLOOKUP(DATE($A$7,$A$9+1-1,IA11),Feriados,1,0)))),TRUE,FALSE),FALSE)</f>
        <v>0</v>
      </c>
      <c r="IB10" s="10" t="b">
        <f>IFERROR(IF(AND(VLOOKUP(IB12,'Días laborables y festivos'!$E$5:$F$11,2,0)="Si",NOT(ISNUMBER(VLOOKUP(DATE($A$7,$A$9+1-1,IB11),Feriados,1,0)))),TRUE,FALSE),FALSE)</f>
        <v>0</v>
      </c>
      <c r="IC10" s="10" t="b">
        <f>IFERROR(IF(AND(VLOOKUP(IC12,'Días laborables y festivos'!$E$5:$F$11,2,0)="Si",NOT(ISNUMBER(VLOOKUP(DATE($A$7,$A$9+1-1,IC11),Feriados,1,0)))),TRUE,FALSE),FALSE)</f>
        <v>0</v>
      </c>
      <c r="ID10" s="10" t="b">
        <f>IFERROR(IF(AND(VLOOKUP(ID12,'Días laborables y festivos'!$E$5:$F$11,2,0)="Si",NOT(ISNUMBER(VLOOKUP(DATE($A$7,$A$9+1-1,ID11),Feriados,1,0)))),TRUE,FALSE),FALSE)</f>
        <v>0</v>
      </c>
      <c r="IE10" s="10" t="b">
        <f>IFERROR(IF(AND(VLOOKUP(IE12,'Días laborables y festivos'!$E$5:$F$11,2,0)="Si",NOT(ISNUMBER(VLOOKUP(DATE($A$7,$A$9+1-1,IE11),Feriados,1,0)))),TRUE,FALSE),FALSE)</f>
        <v>0</v>
      </c>
      <c r="IF10" s="10" t="b">
        <f>IFERROR(IF(AND(VLOOKUP(IF12,'Días laborables y festivos'!$E$5:$F$11,2,0)="Si",NOT(ISNUMBER(VLOOKUP(DATE($A$7,$A$9+1-1,IF11),Feriados,1,0)))),TRUE,FALSE),FALSE)</f>
        <v>0</v>
      </c>
      <c r="IG10" s="10" t="b">
        <f>IFERROR(IF(AND(VLOOKUP(IG12,'Días laborables y festivos'!$E$5:$F$11,2,0)="Si",NOT(ISNUMBER(VLOOKUP(DATE($A$7,$A$9+1-1,IG11),Feriados,1,0)))),TRUE,FALSE),FALSE)</f>
        <v>0</v>
      </c>
      <c r="IH10" s="10" t="b">
        <f>IFERROR(IF(AND(VLOOKUP(IH12,'Días laborables y festivos'!$E$5:$F$11,2,0)="Si",NOT(ISNUMBER(VLOOKUP(DATE($A$7,$A$9+1-1,IH11),Feriados,1,0)))),TRUE,FALSE),FALSE)</f>
        <v>0</v>
      </c>
      <c r="II10" s="10" t="b">
        <f>IFERROR(IF(AND(VLOOKUP(II12,'Días laborables y festivos'!$E$5:$F$11,2,0)="Si",NOT(ISNUMBER(VLOOKUP(DATE($A$7,$A$9+1-1,II11),Feriados,1,0)))),TRUE,FALSE),FALSE)</f>
        <v>0</v>
      </c>
      <c r="IJ10" s="10" t="b">
        <f>IFERROR(IF(AND(VLOOKUP(IJ12,'Días laborables y festivos'!$E$5:$F$11,2,0)="Si",NOT(ISNUMBER(VLOOKUP(DATE($A$7,$A$9+1-1,IJ11),Feriados,1,0)))),TRUE,FALSE),FALSE)</f>
        <v>0</v>
      </c>
      <c r="IK10" s="10" t="b">
        <f>IFERROR(IF(AND(VLOOKUP(IK12,'Días laborables y festivos'!$E$5:$F$11,2,0)="Si",NOT(ISNUMBER(VLOOKUP(DATE($A$7,$A$9+1-1,IK11),Feriados,1,0)))),TRUE,FALSE),FALSE)</f>
        <v>0</v>
      </c>
      <c r="IL10" s="10" t="b">
        <f>IFERROR(IF(AND(VLOOKUP(IL12,'Días laborables y festivos'!$E$5:$F$11,2,0)="Si",NOT(ISNUMBER(VLOOKUP(DATE($A$7,$A$9+1-1,IL11),Feriados,1,0)))),TRUE,FALSE),FALSE)</f>
        <v>0</v>
      </c>
      <c r="IM10" s="10" t="b">
        <f>IFERROR(IF(AND(VLOOKUP(IM12,'Días laborables y festivos'!$E$5:$F$11,2,0)="Si",NOT(ISNUMBER(VLOOKUP(DATE($A$7,$A$9+1-1,IM11),Feriados,1,0)))),TRUE,FALSE),FALSE)</f>
        <v>0</v>
      </c>
      <c r="IN10" s="10" t="b">
        <f>IFERROR(IF(AND(VLOOKUP(IN12,'Días laborables y festivos'!$E$5:$F$11,2,0)="Si",NOT(ISNUMBER(VLOOKUP(DATE($A$7,$A$9+1-1,IN11),Feriados,1,0)))),TRUE,FALSE),FALSE)</f>
        <v>0</v>
      </c>
      <c r="IO10" s="10" t="b">
        <f>IFERROR(IF(AND(VLOOKUP(IO12,'Días laborables y festivos'!$E$5:$F$11,2,0)="Si",NOT(ISNUMBER(VLOOKUP(DATE($A$7,$A$9+1-1,IO11),Feriados,1,0)))),TRUE,FALSE),FALSE)</f>
        <v>0</v>
      </c>
      <c r="IP10" s="10" t="b">
        <f>IFERROR(IF(AND(VLOOKUP(IP12,'Días laborables y festivos'!$E$5:$F$11,2,0)="Si",NOT(ISNUMBER(VLOOKUP(DATE($A$7,$A$9+1-1,IP11),Feriados,1,0)))),TRUE,FALSE),FALSE)</f>
        <v>0</v>
      </c>
      <c r="IQ10" s="10" t="b">
        <f>IFERROR(IF(AND(VLOOKUP(IQ12,'Días laborables y festivos'!$E$5:$F$11,2,0)="Si",NOT(ISNUMBER(VLOOKUP(DATE($A$7,$A$9+1-1,IQ11),Feriados,1,0)))),TRUE,FALSE),FALSE)</f>
        <v>0</v>
      </c>
      <c r="IR10" s="10" t="b">
        <f>IFERROR(IF(AND(VLOOKUP(IR12,'Días laborables y festivos'!$E$5:$F$11,2,0)="Si",NOT(ISNUMBER(VLOOKUP(DATE($A$7,$A$9+1-1,IR11),Feriados,1,0)))),TRUE,FALSE),FALSE)</f>
        <v>0</v>
      </c>
      <c r="IS10" s="10" t="b">
        <f>IFERROR(IF(AND(VLOOKUP(IS12,'Días laborables y festivos'!$E$5:$F$11,2,0)="Si",NOT(ISNUMBER(VLOOKUP(DATE($A$7,$A$9+1-1,IS11),Feriados,1,0)))),TRUE,FALSE),FALSE)</f>
        <v>0</v>
      </c>
      <c r="IT10" s="10" t="b">
        <f>IFERROR(IF(AND(VLOOKUP(IT12,'Días laborables y festivos'!$E$5:$F$11,2,0)="Si",NOT(ISNUMBER(VLOOKUP(DATE($A$7,$A$9+1-1,IT11),Feriados,1,0)))),TRUE,FALSE),FALSE)</f>
        <v>0</v>
      </c>
      <c r="IU10" s="10" t="b">
        <f>IFERROR(IF(AND(VLOOKUP(IU12,'Días laborables y festivos'!$E$5:$F$11,2,0)="Si",NOT(ISNUMBER(VLOOKUP(DATE($A$7,$A$9+1-1,IU11),Feriados,1,0)))),TRUE,FALSE),FALSE)</f>
        <v>0</v>
      </c>
      <c r="IV10" s="10" t="b">
        <f>IFERROR(IF(AND(VLOOKUP(IV12,'Días laborables y festivos'!$E$5:$F$11,2,0)="Si",NOT(ISNUMBER(VLOOKUP(DATE($A$7,$A$9+1-1,IV11),Feriados,1,0)))),TRUE,FALSE),FALSE)</f>
        <v>0</v>
      </c>
      <c r="IW10" s="10" t="b">
        <f>IFERROR(IF(AND(VLOOKUP(IW12,'Días laborables y festivos'!$E$5:$F$11,2,0)="Si",NOT(ISNUMBER(VLOOKUP(DATE($A$7,$A$9+1-1,IW11),Feriados,1,0)))),TRUE,FALSE),FALSE)</f>
        <v>0</v>
      </c>
      <c r="IX10" s="10" t="b">
        <f>IFERROR(IF(AND(VLOOKUP(IX12,'Días laborables y festivos'!$E$5:$F$11,2,0)="Si",NOT(ISNUMBER(VLOOKUP(DATE($A$7,$A$9+1-1,IX11),Feriados,1,0)))),TRUE,FALSE),FALSE)</f>
        <v>0</v>
      </c>
      <c r="IY10" s="10" t="b">
        <f>IFERROR(IF(AND(VLOOKUP(IY12,'Días laborables y festivos'!$E$5:$F$11,2,0)="Si",NOT(ISNUMBER(VLOOKUP(DATE($A$7,$A$9+1-1,IY11),Feriados,1,0)))),TRUE,FALSE),FALSE)</f>
        <v>0</v>
      </c>
      <c r="IZ10" s="10" t="b">
        <f>IFERROR(IF(AND(VLOOKUP(IZ12,'Días laborables y festivos'!$E$5:$F$11,2,0)="Si",NOT(ISNUMBER(VLOOKUP(DATE($A$7,$A$9+1-1,IZ11),Feriados,1,0)))),TRUE,FALSE),FALSE)</f>
        <v>0</v>
      </c>
      <c r="JA10" s="10" t="b">
        <f>IFERROR(IF(AND(VLOOKUP(JA12,'Días laborables y festivos'!$E$5:$F$11,2,0)="Si",NOT(ISNUMBER(VLOOKUP(DATE($A$7,$A$9+1-1,JA11),Feriados,1,0)))),TRUE,FALSE),FALSE)</f>
        <v>0</v>
      </c>
      <c r="JB10" s="10" t="b">
        <f>IFERROR(IF(AND(VLOOKUP(JB12,'Días laborables y festivos'!$E$5:$F$11,2,0)="Si",NOT(ISNUMBER(VLOOKUP(DATE($A$7,$A$9+1-1,JB11),Feriados,1,0)))),TRUE,FALSE),FALSE)</f>
        <v>0</v>
      </c>
      <c r="JC10" s="10" t="b">
        <f>IFERROR(IF(AND(VLOOKUP(JC12,'Días laborables y festivos'!$E$5:$F$11,2,0)="Si",NOT(ISNUMBER(VLOOKUP(DATE($A$7,$A$9+1-1,JC11),Feriados,1,0)))),TRUE,FALSE),FALSE)</f>
        <v>0</v>
      </c>
      <c r="JD10" s="10" t="b">
        <f>IFERROR(IF(AND(VLOOKUP(JD12,'Días laborables y festivos'!$E$5:$F$11,2,0)="Si",NOT(ISNUMBER(VLOOKUP(DATE($A$7,$A$9+1-1,JD11),Feriados,1,0)))),TRUE,FALSE),FALSE)</f>
        <v>0</v>
      </c>
      <c r="JE10" s="10" t="b">
        <f>IFERROR(IF(AND(VLOOKUP(JE12,'Días laborables y festivos'!$E$5:$F$11,2,0)="Si",NOT(ISNUMBER(VLOOKUP(DATE($A$7,$A$9+1-1,JE11),Feriados,1,0)))),TRUE,FALSE),FALSE)</f>
        <v>0</v>
      </c>
      <c r="JF10" s="10" t="b">
        <f>IFERROR(IF(AND(VLOOKUP(JF12,'Días laborables y festivos'!$E$5:$F$11,2,0)="Si",NOT(ISNUMBER(VLOOKUP(DATE($A$7,$A$9+1-1,JF11),Feriados,1,0)))),TRUE,FALSE),FALSE)</f>
        <v>0</v>
      </c>
      <c r="JG10" s="10" t="b">
        <f>IFERROR(IF(AND(VLOOKUP(JG12,'Días laborables y festivos'!$E$5:$F$11,2,0)="Si",NOT(ISNUMBER(VLOOKUP(DATE($A$7,$A$9+1-1,JG11),Feriados,1,0)))),TRUE,FALSE),FALSE)</f>
        <v>0</v>
      </c>
      <c r="JH10" s="10" t="b">
        <f>IFERROR(IF(AND(VLOOKUP(JH12,'Días laborables y festivos'!$E$5:$F$11,2,0)="Si",NOT(ISNUMBER(VLOOKUP(DATE($A$7,$A$9+1-1,JH11),Feriados,1,0)))),TRUE,FALSE),FALSE)</f>
        <v>0</v>
      </c>
      <c r="JI10" s="10" t="b">
        <f>IFERROR(IF(AND(VLOOKUP(JI12,'Días laborables y festivos'!$E$5:$F$11,2,0)="Si",NOT(ISNUMBER(VLOOKUP(DATE($A$7,$A$9+1-1,JI11),Feriados,1,0)))),TRUE,FALSE),FALSE)</f>
        <v>0</v>
      </c>
      <c r="JJ10" s="10" t="b">
        <f>IFERROR(IF(AND(VLOOKUP(JJ12,'Días laborables y festivos'!$E$5:$F$11,2,0)="Si",NOT(ISNUMBER(VLOOKUP(DATE($A$7,$A$9+1-1,JJ11),Feriados,1,0)))),TRUE,FALSE),FALSE)</f>
        <v>0</v>
      </c>
      <c r="JK10" s="10" t="b">
        <f>IFERROR(IF(AND(VLOOKUP(JK12,'Días laborables y festivos'!$E$5:$F$11,2,0)="Si",NOT(ISNUMBER(VLOOKUP(DATE($A$7,$A$9+1-1,JK11),Feriados,1,0)))),TRUE,FALSE),FALSE)</f>
        <v>0</v>
      </c>
      <c r="JL10" s="10" t="b">
        <f>IFERROR(IF(AND(VLOOKUP(JL12,'Días laborables y festivos'!$E$5:$F$11,2,0)="Si",NOT(ISNUMBER(VLOOKUP(DATE($A$7,$A$9+1-1,JL11),Feriados,1,0)))),TRUE,FALSE),FALSE)</f>
        <v>0</v>
      </c>
      <c r="JM10" s="10" t="b">
        <f>IFERROR(IF(AND(VLOOKUP(JM12,'Días laborables y festivos'!$E$5:$F$11,2,0)="Si",NOT(ISNUMBER(VLOOKUP(DATE($A$7,$A$9+1-1,JM11),Feriados,1,0)))),TRUE,FALSE),FALSE)</f>
        <v>0</v>
      </c>
      <c r="JN10" s="10" t="b">
        <f>IFERROR(IF(AND(VLOOKUP(JN12,'Días laborables y festivos'!$E$5:$F$11,2,0)="Si",NOT(ISNUMBER(VLOOKUP(DATE($A$7,$A$9+1-1,JN11),Feriados,1,0)))),TRUE,FALSE),FALSE)</f>
        <v>0</v>
      </c>
      <c r="JO10" s="10" t="b">
        <f>IFERROR(IF(AND(VLOOKUP(JO12,'Días laborables y festivos'!$E$5:$F$11,2,0)="Si",NOT(ISNUMBER(VLOOKUP(DATE($A$7,$A$9+1-1,JO11),Feriados,1,0)))),TRUE,FALSE),FALSE)</f>
        <v>0</v>
      </c>
      <c r="JP10" s="10" t="b">
        <f>IFERROR(IF(AND(VLOOKUP(JP12,'Días laborables y festivos'!$E$5:$F$11,2,0)="Si",NOT(ISNUMBER(VLOOKUP(DATE($A$7,$A$9+1-1,JP11),Feriados,1,0)))),TRUE,FALSE),FALSE)</f>
        <v>0</v>
      </c>
      <c r="JQ10" s="10" t="b">
        <f>IFERROR(IF(AND(VLOOKUP(JQ12,'Días laborables y festivos'!$E$5:$F$11,2,0)="Si",NOT(ISNUMBER(VLOOKUP(DATE($A$7,$A$9+1-1,JQ11),Feriados,1,0)))),TRUE,FALSE),FALSE)</f>
        <v>0</v>
      </c>
      <c r="JR10" s="10" t="b">
        <f>IFERROR(IF(AND(VLOOKUP(JR12,'Días laborables y festivos'!$E$5:$F$11,2,0)="Si",NOT(ISNUMBER(VLOOKUP(DATE($A$7,$A$9+1-1,JR11),Feriados,1,0)))),TRUE,FALSE),FALSE)</f>
        <v>0</v>
      </c>
      <c r="JS10" s="10" t="b">
        <f>IFERROR(IF(AND(VLOOKUP(JS12,'Días laborables y festivos'!$E$5:$F$11,2,0)="Si",NOT(ISNUMBER(VLOOKUP(DATE($A$7,$A$9+1-1,JS11),Feriados,1,0)))),TRUE,FALSE),FALSE)</f>
        <v>0</v>
      </c>
      <c r="JT10" s="10" t="b">
        <f>IFERROR(IF(AND(VLOOKUP(JT12,'Días laborables y festivos'!$E$5:$F$11,2,0)="Si",NOT(ISNUMBER(VLOOKUP(DATE($A$7,$A$9+1-1,JT11),Feriados,1,0)))),TRUE,FALSE),FALSE)</f>
        <v>0</v>
      </c>
      <c r="JU10" s="10" t="b">
        <f>IFERROR(IF(AND(VLOOKUP(JU12,'Días laborables y festivos'!$E$5:$F$11,2,0)="Si",NOT(ISNUMBER(VLOOKUP(DATE($A$7,$A$9+1-1,JU11),Feriados,1,0)))),TRUE,FALSE),FALSE)</f>
        <v>0</v>
      </c>
      <c r="JV10" s="10" t="b">
        <f>IFERROR(IF(AND(VLOOKUP(JV12,'Días laborables y festivos'!$E$5:$F$11,2,0)="Si",NOT(ISNUMBER(VLOOKUP(DATE($A$7,$A$9+1-1,JV11),Feriados,1,0)))),TRUE,FALSE),FALSE)</f>
        <v>0</v>
      </c>
      <c r="JW10" s="10" t="b">
        <f>IFERROR(IF(AND(VLOOKUP(JW12,'Días laborables y festivos'!$E$5:$F$11,2,0)="Si",NOT(ISNUMBER(VLOOKUP(DATE($A$7,$A$9+1-1,JW11),Feriados,1,0)))),TRUE,FALSE),FALSE)</f>
        <v>0</v>
      </c>
      <c r="JX10" s="10" t="b">
        <f>IFERROR(IF(AND(VLOOKUP(JX12,'Días laborables y festivos'!$E$5:$F$11,2,0)="Si",NOT(ISNUMBER(VLOOKUP(DATE($A$7,$A$9+1-1,JX11),Feriados,1,0)))),TRUE,FALSE),FALSE)</f>
        <v>0</v>
      </c>
      <c r="JY10" s="10" t="b">
        <f>IFERROR(IF(AND(VLOOKUP(JY12,'Días laborables y festivos'!$E$5:$F$11,2,0)="Si",NOT(ISNUMBER(VLOOKUP(DATE($A$7,$A$9+1-1,JY11),Feriados,1,0)))),TRUE,FALSE),FALSE)</f>
        <v>0</v>
      </c>
      <c r="JZ10" s="10" t="b">
        <f>IFERROR(IF(AND(VLOOKUP(JZ12,'Días laborables y festivos'!$E$5:$F$11,2,0)="Si",NOT(ISNUMBER(VLOOKUP(DATE($A$7,$A$9+1-1,JZ11),Feriados,1,0)))),TRUE,FALSE),FALSE)</f>
        <v>0</v>
      </c>
      <c r="KA10" s="10" t="b">
        <f>IFERROR(IF(AND(VLOOKUP(KA12,'Días laborables y festivos'!$E$5:$F$11,2,0)="Si",NOT(ISNUMBER(VLOOKUP(DATE($A$7,$A$9+1-1,KA11),Feriados,1,0)))),TRUE,FALSE),FALSE)</f>
        <v>0</v>
      </c>
      <c r="KB10" s="10" t="b">
        <f>IFERROR(IF(AND(VLOOKUP(KB12,'Días laborables y festivos'!$E$5:$F$11,2,0)="Si",NOT(ISNUMBER(VLOOKUP(DATE($A$7,$A$9+1-1,KB11),Feriados,1,0)))),TRUE,FALSE),FALSE)</f>
        <v>0</v>
      </c>
      <c r="KC10" s="10" t="b">
        <f>IFERROR(IF(AND(VLOOKUP(KC12,'Días laborables y festivos'!$E$5:$F$11,2,0)="Si",NOT(ISNUMBER(VLOOKUP(DATE($A$7,$A$9+1-1,KC11),Feriados,1,0)))),TRUE,FALSE),FALSE)</f>
        <v>0</v>
      </c>
      <c r="KD10" s="10" t="b">
        <f>IFERROR(IF(AND(VLOOKUP(KD12,'Días laborables y festivos'!$E$5:$F$11,2,0)="Si",NOT(ISNUMBER(VLOOKUP(DATE($A$7,$A$9+1-1,KD11),Feriados,1,0)))),TRUE,FALSE),FALSE)</f>
        <v>0</v>
      </c>
      <c r="KE10" s="10" t="b">
        <f>IFERROR(IF(AND(VLOOKUP(KE12,'Días laborables y festivos'!$E$5:$F$11,2,0)="Si",NOT(ISNUMBER(VLOOKUP(DATE($A$7,$A$9+1-1,KE11),Feriados,1,0)))),TRUE,FALSE),FALSE)</f>
        <v>0</v>
      </c>
      <c r="KF10" s="10" t="b">
        <f>IFERROR(IF(AND(VLOOKUP(KF12,'Días laborables y festivos'!$E$5:$F$11,2,0)="Si",NOT(ISNUMBER(VLOOKUP(DATE($A$7,$A$9+1-1,KF11),Feriados,1,0)))),TRUE,FALSE),FALSE)</f>
        <v>0</v>
      </c>
      <c r="KG10" s="10" t="b">
        <f>IFERROR(IF(AND(VLOOKUP(KG12,'Días laborables y festivos'!$E$5:$F$11,2,0)="Si",NOT(ISNUMBER(VLOOKUP(DATE($A$7,$A$9+1-1,KG11),Feriados,1,0)))),TRUE,FALSE),FALSE)</f>
        <v>0</v>
      </c>
      <c r="KH10" s="10" t="b">
        <f>IFERROR(IF(AND(VLOOKUP(KH12,'Días laborables y festivos'!$E$5:$F$11,2,0)="Si",NOT(ISNUMBER(VLOOKUP(DATE($A$7,$A$9+1-1,KH11),Feriados,1,0)))),TRUE,FALSE),FALSE)</f>
        <v>0</v>
      </c>
      <c r="KI10" s="10" t="b">
        <f>IFERROR(IF(AND(VLOOKUP(KI12,'Días laborables y festivos'!$E$5:$F$11,2,0)="Si",NOT(ISNUMBER(VLOOKUP(DATE($A$7,$A$9+1-1,KI11),Feriados,1,0)))),TRUE,FALSE),FALSE)</f>
        <v>0</v>
      </c>
      <c r="KJ10" s="10" t="b">
        <f>IFERROR(IF(AND(VLOOKUP(KJ12,'Días laborables y festivos'!$E$5:$F$11,2,0)="Si",NOT(ISNUMBER(VLOOKUP(DATE($A$7,$A$9+1-1,KJ11),Feriados,1,0)))),TRUE,FALSE),FALSE)</f>
        <v>0</v>
      </c>
      <c r="KK10" s="10" t="b">
        <f>IFERROR(IF(AND(VLOOKUP(KK12,'Días laborables y festivos'!$E$5:$F$11,2,0)="Si",NOT(ISNUMBER(VLOOKUP(DATE($A$7,$A$9+1-1,KK11),Feriados,1,0)))),TRUE,FALSE),FALSE)</f>
        <v>0</v>
      </c>
      <c r="KL10" s="10" t="b">
        <f>IFERROR(IF(AND(VLOOKUP(KL12,'Días laborables y festivos'!$E$5:$F$11,2,0)="Si",NOT(ISNUMBER(VLOOKUP(DATE($A$7,$A$9+1-1,KL11),Feriados,1,0)))),TRUE,FALSE),FALSE)</f>
        <v>0</v>
      </c>
      <c r="KM10" s="10" t="b">
        <f>IFERROR(IF(AND(VLOOKUP(KM12,'Días laborables y festivos'!$E$5:$F$11,2,0)="Si",NOT(ISNUMBER(VLOOKUP(DATE($A$7,$A$9+1-1,KM11),Feriados,1,0)))),TRUE,FALSE),FALSE)</f>
        <v>0</v>
      </c>
      <c r="KN10" s="10" t="b">
        <f>IFERROR(IF(AND(VLOOKUP(KN12,'Días laborables y festivos'!$E$5:$F$11,2,0)="Si",NOT(ISNUMBER(VLOOKUP(DATE($A$7,$A$9+1-1,KN11),Feriados,1,0)))),TRUE,FALSE),FALSE)</f>
        <v>0</v>
      </c>
      <c r="KO10" s="10" t="b">
        <f>IFERROR(IF(AND(VLOOKUP(KO12,'Días laborables y festivos'!$E$5:$F$11,2,0)="Si",NOT(ISNUMBER(VLOOKUP(DATE($A$7,$A$9+1-1,KO11),Feriados,1,0)))),TRUE,FALSE),FALSE)</f>
        <v>0</v>
      </c>
      <c r="KP10" s="10" t="b">
        <f>IFERROR(IF(AND(VLOOKUP(KP12,'Días laborables y festivos'!$E$5:$F$11,2,0)="Si",NOT(ISNUMBER(VLOOKUP(DATE($A$7,$A$9+1-1,KP11),Feriados,1,0)))),TRUE,FALSE),FALSE)</f>
        <v>0</v>
      </c>
      <c r="KQ10" s="10" t="b">
        <f>IFERROR(IF(AND(VLOOKUP(KQ12,'Días laborables y festivos'!$E$5:$F$11,2,0)="Si",NOT(ISNUMBER(VLOOKUP(DATE($A$7,$A$9+1-1,KQ11),Feriados,1,0)))),TRUE,FALSE),FALSE)</f>
        <v>0</v>
      </c>
      <c r="KR10" s="10" t="b">
        <f>IFERROR(IF(AND(VLOOKUP(KR12,'Días laborables y festivos'!$E$5:$F$11,2,0)="Si",NOT(ISNUMBER(VLOOKUP(DATE($A$7,$A$9+1-1,KR11),Feriados,1,0)))),TRUE,FALSE),FALSE)</f>
        <v>0</v>
      </c>
      <c r="KS10" s="10" t="b">
        <f>IFERROR(IF(AND(VLOOKUP(KS12,'Días laborables y festivos'!$E$5:$F$11,2,0)="Si",NOT(ISNUMBER(VLOOKUP(DATE($A$7,$A$9+1-1,KS11),Feriados,1,0)))),TRUE,FALSE),FALSE)</f>
        <v>0</v>
      </c>
      <c r="KT10" s="10" t="b">
        <f>IFERROR(IF(AND(VLOOKUP(KT12,'Días laborables y festivos'!$E$5:$F$11,2,0)="Si",NOT(ISNUMBER(VLOOKUP(DATE($A$7,$A$9+1-1,KT11),Feriados,1,0)))),TRUE,FALSE),FALSE)</f>
        <v>0</v>
      </c>
      <c r="KU10" s="10" t="b">
        <f>IFERROR(IF(AND(VLOOKUP(KU12,'Días laborables y festivos'!$E$5:$F$11,2,0)="Si",NOT(ISNUMBER(VLOOKUP(DATE($A$7,$A$9+1-1,KU11),Feriados,1,0)))),TRUE,FALSE),FALSE)</f>
        <v>0</v>
      </c>
      <c r="KV10" s="10" t="b">
        <f>IFERROR(IF(AND(VLOOKUP(KV12,'Días laborables y festivos'!$E$5:$F$11,2,0)="Si",NOT(ISNUMBER(VLOOKUP(DATE($A$7,$A$9+1-1,KV11),Feriados,1,0)))),TRUE,FALSE),FALSE)</f>
        <v>0</v>
      </c>
      <c r="KW10" s="10" t="b">
        <f>IFERROR(IF(AND(VLOOKUP(KW12,'Días laborables y festivos'!$E$5:$F$11,2,0)="Si",NOT(ISNUMBER(VLOOKUP(DATE($A$7,$A$9+1-1,KW11),Feriados,1,0)))),TRUE,FALSE),FALSE)</f>
        <v>0</v>
      </c>
      <c r="KX10" s="10" t="b">
        <f>IFERROR(IF(AND(VLOOKUP(KX12,'Días laborables y festivos'!$E$5:$F$11,2,0)="Si",NOT(ISNUMBER(VLOOKUP(DATE($A$7,$A$9+1-1,KX11),Feriados,1,0)))),TRUE,FALSE),FALSE)</f>
        <v>0</v>
      </c>
      <c r="KY10" s="10" t="b">
        <f>IFERROR(IF(AND(VLOOKUP(KY12,'Días laborables y festivos'!$E$5:$F$11,2,0)="Si",NOT(ISNUMBER(VLOOKUP(DATE($A$7,$A$9+1-1,KY11),Feriados,1,0)))),TRUE,FALSE),FALSE)</f>
        <v>0</v>
      </c>
      <c r="KZ10" s="10" t="b">
        <f>IFERROR(IF(AND(VLOOKUP(KZ12,'Días laborables y festivos'!$E$5:$F$11,2,0)="Si",NOT(ISNUMBER(VLOOKUP(DATE($A$7,$A$9+1-1,KZ11),Feriados,1,0)))),TRUE,FALSE),FALSE)</f>
        <v>0</v>
      </c>
      <c r="LA10" s="10" t="b">
        <f>IFERROR(IF(AND(VLOOKUP(LA12,'Días laborables y festivos'!$E$5:$F$11,2,0)="Si",NOT(ISNUMBER(VLOOKUP(DATE($A$7,$A$9+1-1,LA11),Feriados,1,0)))),TRUE,FALSE),FALSE)</f>
        <v>0</v>
      </c>
      <c r="LB10" s="10" t="b">
        <f>IFERROR(IF(AND(VLOOKUP(LB12,'Días laborables y festivos'!$E$5:$F$11,2,0)="Si",NOT(ISNUMBER(VLOOKUP(DATE($A$7,$A$9+1-1,LB11),Feriados,1,0)))),TRUE,FALSE),FALSE)</f>
        <v>0</v>
      </c>
      <c r="LC10" s="10" t="b">
        <f>IFERROR(IF(AND(VLOOKUP(LC12,'Días laborables y festivos'!$E$5:$F$11,2,0)="Si",NOT(ISNUMBER(VLOOKUP(DATE($A$7,$A$9+1-1,LC11),Feriados,1,0)))),TRUE,FALSE),FALSE)</f>
        <v>0</v>
      </c>
      <c r="LD10" s="10" t="b">
        <f>IFERROR(IF(AND(VLOOKUP(LD12,'Días laborables y festivos'!$E$5:$F$11,2,0)="Si",NOT(ISNUMBER(VLOOKUP(DATE($A$7,$A$9+1-1,LD11),Feriados,1,0)))),TRUE,FALSE),FALSE)</f>
        <v>0</v>
      </c>
      <c r="LE10" s="10" t="b">
        <f>IFERROR(IF(AND(VLOOKUP(LE12,'Días laborables y festivos'!$E$5:$F$11,2,0)="Si",NOT(ISNUMBER(VLOOKUP(DATE($A$7,$A$9+1-1,LE11),Feriados,1,0)))),TRUE,FALSE),FALSE)</f>
        <v>0</v>
      </c>
      <c r="LF10" s="10" t="b">
        <f>IFERROR(IF(AND(VLOOKUP(LF12,'Días laborables y festivos'!$E$5:$F$11,2,0)="Si",NOT(ISNUMBER(VLOOKUP(DATE($A$7,$A$9+1-1,LF11),Feriados,1,0)))),TRUE,FALSE),FALSE)</f>
        <v>0</v>
      </c>
      <c r="LG10" s="10" t="b">
        <f>IFERROR(IF(AND(VLOOKUP(LG12,'Días laborables y festivos'!$E$5:$F$11,2,0)="Si",NOT(ISNUMBER(VLOOKUP(DATE($A$7,$A$9+1-1,LG11),Feriados,1,0)))),TRUE,FALSE),FALSE)</f>
        <v>0</v>
      </c>
      <c r="LH10" s="10" t="b">
        <f>IFERROR(IF(AND(VLOOKUP(LH12,'Días laborables y festivos'!$E$5:$F$11,2,0)="Si",NOT(ISNUMBER(VLOOKUP(DATE($A$7,$A$9+1-1,LH11),Feriados,1,0)))),TRUE,FALSE),FALSE)</f>
        <v>0</v>
      </c>
      <c r="LI10" s="10" t="b">
        <f>IFERROR(IF(AND(VLOOKUP(LI12,'Días laborables y festivos'!$E$5:$F$11,2,0)="Si",NOT(ISNUMBER(VLOOKUP(DATE($A$7,$A$9+1-1,LI11),Feriados,1,0)))),TRUE,FALSE),FALSE)</f>
        <v>0</v>
      </c>
      <c r="LJ10" s="10" t="b">
        <f>IFERROR(IF(AND(VLOOKUP(LJ12,'Días laborables y festivos'!$E$5:$F$11,2,0)="Si",NOT(ISNUMBER(VLOOKUP(DATE($A$7,$A$9+1-1,LJ11),Feriados,1,0)))),TRUE,FALSE),FALSE)</f>
        <v>0</v>
      </c>
      <c r="LK10" s="10" t="b">
        <f>IFERROR(IF(AND(VLOOKUP(LK12,'Días laborables y festivos'!$E$5:$F$11,2,0)="Si",NOT(ISNUMBER(VLOOKUP(DATE($A$7,$A$9+1-1,LK11),Feriados,1,0)))),TRUE,FALSE),FALSE)</f>
        <v>0</v>
      </c>
      <c r="LL10" s="10" t="b">
        <f>IFERROR(IF(AND(VLOOKUP(LL12,'Días laborables y festivos'!$E$5:$F$11,2,0)="Si",NOT(ISNUMBER(VLOOKUP(DATE($A$7,$A$9+1-1,LL11),Feriados,1,0)))),TRUE,FALSE),FALSE)</f>
        <v>0</v>
      </c>
      <c r="LM10" s="10" t="b">
        <f>IFERROR(IF(AND(VLOOKUP(LM12,'Días laborables y festivos'!$E$5:$F$11,2,0)="Si",NOT(ISNUMBER(VLOOKUP(DATE($A$7,$A$9+1-1,LM11),Feriados,1,0)))),TRUE,FALSE),FALSE)</f>
        <v>0</v>
      </c>
      <c r="LN10" s="10" t="b">
        <f>IFERROR(IF(AND(VLOOKUP(LN12,'Días laborables y festivos'!$E$5:$F$11,2,0)="Si",NOT(ISNUMBER(VLOOKUP(DATE($A$7,$A$9+1-1,LN11),Feriados,1,0)))),TRUE,FALSE),FALSE)</f>
        <v>0</v>
      </c>
      <c r="LO10" s="10" t="b">
        <f>IFERROR(IF(AND(VLOOKUP(LO12,'Días laborables y festivos'!$E$5:$F$11,2,0)="Si",NOT(ISNUMBER(VLOOKUP(DATE($A$7,$A$9+1-1,LO11),Feriados,1,0)))),TRUE,FALSE),FALSE)</f>
        <v>0</v>
      </c>
      <c r="LP10" s="10" t="b">
        <f>IFERROR(IF(AND(VLOOKUP(LP12,'Días laborables y festivos'!$E$5:$F$11,2,0)="Si",NOT(ISNUMBER(VLOOKUP(DATE($A$7,$A$9+1-1,LP11),Feriados,1,0)))),TRUE,FALSE),FALSE)</f>
        <v>0</v>
      </c>
      <c r="LQ10" s="10" t="b">
        <f>IFERROR(IF(AND(VLOOKUP(LQ12,'Días laborables y festivos'!$E$5:$F$11,2,0)="Si",NOT(ISNUMBER(VLOOKUP(DATE($A$7,$A$9+1-1,LQ11),Feriados,1,0)))),TRUE,FALSE),FALSE)</f>
        <v>0</v>
      </c>
      <c r="LR10" s="10" t="b">
        <f>IFERROR(IF(AND(VLOOKUP(LR12,'Días laborables y festivos'!$E$5:$F$11,2,0)="Si",NOT(ISNUMBER(VLOOKUP(DATE($A$7,$A$9+1-1,LR11),Feriados,1,0)))),TRUE,FALSE),FALSE)</f>
        <v>0</v>
      </c>
      <c r="LS10" s="10" t="b">
        <f>IFERROR(IF(AND(VLOOKUP(LS12,'Días laborables y festivos'!$E$5:$F$11,2,0)="Si",NOT(ISNUMBER(VLOOKUP(DATE($A$7,$A$9+1-1,LS11),Feriados,1,0)))),TRUE,FALSE),FALSE)</f>
        <v>0</v>
      </c>
      <c r="LT10" s="10" t="b">
        <f>IFERROR(IF(AND(VLOOKUP(LT12,'Días laborables y festivos'!$E$5:$F$11,2,0)="Si",NOT(ISNUMBER(VLOOKUP(DATE($A$7,$A$9+1-1,LT11),Feriados,1,0)))),TRUE,FALSE),FALSE)</f>
        <v>0</v>
      </c>
      <c r="LU10" s="10" t="b">
        <f>IFERROR(IF(AND(VLOOKUP(LU12,'Días laborables y festivos'!$E$5:$F$11,2,0)="Si",NOT(ISNUMBER(VLOOKUP(DATE($A$7,$A$9+1-1,LU11),Feriados,1,0)))),TRUE,FALSE),FALSE)</f>
        <v>0</v>
      </c>
      <c r="LV10" s="10" t="b">
        <f>IFERROR(IF(AND(VLOOKUP(LV12,'Días laborables y festivos'!$E$5:$F$11,2,0)="Si",NOT(ISNUMBER(VLOOKUP(DATE($A$7,$A$9+1-1,LV11),Feriados,1,0)))),TRUE,FALSE),FALSE)</f>
        <v>0</v>
      </c>
      <c r="LW10" s="10" t="b">
        <f>IFERROR(IF(AND(VLOOKUP(LW12,'Días laborables y festivos'!$E$5:$F$11,2,0)="Si",NOT(ISNUMBER(VLOOKUP(DATE($A$7,$A$9+1-1,LW11),Feriados,1,0)))),TRUE,FALSE),FALSE)</f>
        <v>0</v>
      </c>
      <c r="LX10" s="10" t="b">
        <f>IFERROR(IF(AND(VLOOKUP(LX12,'Días laborables y festivos'!$E$5:$F$11,2,0)="Si",NOT(ISNUMBER(VLOOKUP(DATE($A$7,$A$9+1-1,LX11),Feriados,1,0)))),TRUE,FALSE),FALSE)</f>
        <v>0</v>
      </c>
      <c r="LY10" s="10" t="b">
        <f>IFERROR(IF(AND(VLOOKUP(LY12,'Días laborables y festivos'!$E$5:$F$11,2,0)="Si",NOT(ISNUMBER(VLOOKUP(DATE($A$7,$A$9+1-1,LY11),Feriados,1,0)))),TRUE,FALSE),FALSE)</f>
        <v>0</v>
      </c>
      <c r="LZ10" s="10" t="b">
        <f>IFERROR(IF(AND(VLOOKUP(LZ12,'Días laborables y festivos'!$E$5:$F$11,2,0)="Si",NOT(ISNUMBER(VLOOKUP(DATE($A$7,$A$9+1-1,LZ11),Feriados,1,0)))),TRUE,FALSE),FALSE)</f>
        <v>0</v>
      </c>
      <c r="MA10" s="10" t="b">
        <f>IFERROR(IF(AND(VLOOKUP(MA12,'Días laborables y festivos'!$E$5:$F$11,2,0)="Si",NOT(ISNUMBER(VLOOKUP(DATE($A$7,$A$9+1-1,MA11),Feriados,1,0)))),TRUE,FALSE),FALSE)</f>
        <v>0</v>
      </c>
      <c r="MB10" s="10" t="b">
        <f>IFERROR(IF(AND(VLOOKUP(MB12,'Días laborables y festivos'!$E$5:$F$11,2,0)="Si",NOT(ISNUMBER(VLOOKUP(DATE($A$7,$A$9+1-1,MB11),Feriados,1,0)))),TRUE,FALSE),FALSE)</f>
        <v>0</v>
      </c>
      <c r="MC10" s="10" t="b">
        <f>IFERROR(IF(AND(VLOOKUP(MC12,'Días laborables y festivos'!$E$5:$F$11,2,0)="Si",NOT(ISNUMBER(VLOOKUP(DATE($A$7,$A$9+1-1,MC11),Feriados,1,0)))),TRUE,FALSE),FALSE)</f>
        <v>0</v>
      </c>
      <c r="MD10" s="10" t="b">
        <f>IFERROR(IF(AND(VLOOKUP(MD12,'Días laborables y festivos'!$E$5:$F$11,2,0)="Si",NOT(ISNUMBER(VLOOKUP(DATE($A$7,$A$9+1-1,MD11),Feriados,1,0)))),TRUE,FALSE),FALSE)</f>
        <v>0</v>
      </c>
      <c r="ME10" s="10" t="b">
        <f>IFERROR(IF(AND(VLOOKUP(ME12,'Días laborables y festivos'!$E$5:$F$11,2,0)="Si",NOT(ISNUMBER(VLOOKUP(DATE($A$7,$A$9+1-1,ME11),Feriados,1,0)))),TRUE,FALSE),FALSE)</f>
        <v>1</v>
      </c>
      <c r="MF10" s="10" t="b">
        <f>IFERROR(IF(AND(VLOOKUP(MF12,'Días laborables y festivos'!$E$5:$F$11,2,0)="Si",NOT(ISNUMBER(VLOOKUP(DATE($A$7,$A$9+1-1,MF11),Feriados,1,0)))),TRUE,FALSE),FALSE)</f>
        <v>1</v>
      </c>
      <c r="MG10" s="10" t="b">
        <f>IFERROR(IF(AND(VLOOKUP(MG12,'Días laborables y festivos'!$E$5:$F$11,2,0)="Si",NOT(ISNUMBER(VLOOKUP(DATE($A$7,$A$9+1-1,MG11),Feriados,1,0)))),TRUE,FALSE),FALSE)</f>
        <v>1</v>
      </c>
      <c r="MH10" s="10" t="b">
        <f>IFERROR(IF(AND(VLOOKUP(MH12,'Días laborables y festivos'!$E$5:$F$11,2,0)="Si",NOT(ISNUMBER(VLOOKUP(DATE($A$7,$A$9+1-1,MH11),Feriados,1,0)))),TRUE,FALSE),FALSE)</f>
        <v>0</v>
      </c>
      <c r="MI10" s="10" t="b">
        <f>IFERROR(IF(AND(VLOOKUP(MI12,'Días laborables y festivos'!$E$5:$F$11,2,0)="Si",NOT(ISNUMBER(VLOOKUP(DATE($A$7,$A$9+1-1,MI11),Feriados,1,0)))),TRUE,FALSE),FALSE)</f>
        <v>0</v>
      </c>
      <c r="MJ10" s="10" t="b">
        <f>IFERROR(IF(AND(VLOOKUP(MJ12,'Días laborables y festivos'!$E$5:$F$11,2,0)="Si",NOT(ISNUMBER(VLOOKUP(DATE($A$7,$A$9+1-1,MJ11),Feriados,1,0)))),TRUE,FALSE),FALSE)</f>
        <v>1</v>
      </c>
      <c r="MK10" s="10" t="b">
        <f>IFERROR(IF(AND(VLOOKUP(MK12,'Días laborables y festivos'!$E$5:$F$11,2,0)="Si",NOT(ISNUMBER(VLOOKUP(DATE($A$7,$A$9+1-1,MK11),Feriados,1,0)))),TRUE,FALSE),FALSE)</f>
        <v>1</v>
      </c>
      <c r="ML10" s="10" t="b">
        <f>IFERROR(IF(AND(VLOOKUP(ML12,'Días laborables y festivos'!$E$5:$F$11,2,0)="Si",NOT(ISNUMBER(VLOOKUP(DATE($A$7,$A$9+1-1,ML11),Feriados,1,0)))),TRUE,FALSE),FALSE)</f>
        <v>1</v>
      </c>
      <c r="MM10" s="10" t="b">
        <f>IFERROR(IF(AND(VLOOKUP(MM12,'Días laborables y festivos'!$E$5:$F$11,2,0)="Si",NOT(ISNUMBER(VLOOKUP(DATE($A$7,$A$9+1-1,MM11),Feriados,1,0)))),TRUE,FALSE),FALSE)</f>
        <v>1</v>
      </c>
      <c r="MN10" s="10" t="b">
        <f>IFERROR(IF(AND(VLOOKUP(MN12,'Días laborables y festivos'!$E$5:$F$11,2,0)="Si",NOT(ISNUMBER(VLOOKUP(DATE($A$7,$A$9+1-1,MN11),Feriados,1,0)))),TRUE,FALSE),FALSE)</f>
        <v>1</v>
      </c>
      <c r="MO10" s="10" t="b">
        <f>IFERROR(IF(AND(VLOOKUP(MO12,'Días laborables y festivos'!$E$5:$F$11,2,0)="Si",NOT(ISNUMBER(VLOOKUP(DATE($A$7,$A$9+1-1,MO11),Feriados,1,0)))),TRUE,FALSE),FALSE)</f>
        <v>0</v>
      </c>
      <c r="MP10" s="10" t="b">
        <f>IFERROR(IF(AND(VLOOKUP(MP12,'Días laborables y festivos'!$E$5:$F$11,2,0)="Si",NOT(ISNUMBER(VLOOKUP(DATE($A$7,$A$9+1-1,MP11),Feriados,1,0)))),TRUE,FALSE),FALSE)</f>
        <v>0</v>
      </c>
      <c r="MQ10" s="10" t="b">
        <f>IFERROR(IF(AND(VLOOKUP(MQ12,'Días laborables y festivos'!$E$5:$F$11,2,0)="Si",NOT(ISNUMBER(VLOOKUP(DATE($A$7,$A$9+1-1,MQ11),Feriados,1,0)))),TRUE,FALSE),FALSE)</f>
        <v>1</v>
      </c>
      <c r="MR10" s="10" t="b">
        <f>IFERROR(IF(AND(VLOOKUP(MR12,'Días laborables y festivos'!$E$5:$F$11,2,0)="Si",NOT(ISNUMBER(VLOOKUP(DATE($A$7,$A$9+1-1,MR11),Feriados,1,0)))),TRUE,FALSE),FALSE)</f>
        <v>1</v>
      </c>
      <c r="MS10" s="10" t="b">
        <f>IFERROR(IF(AND(VLOOKUP(MS12,'Días laborables y festivos'!$E$5:$F$11,2,0)="Si",NOT(ISNUMBER(VLOOKUP(DATE($A$7,$A$9+1-1,MS11),Feriados,1,0)))),TRUE,FALSE),FALSE)</f>
        <v>1</v>
      </c>
      <c r="MT10" s="10" t="b">
        <f>IFERROR(IF(AND(VLOOKUP(MT12,'Días laborables y festivos'!$E$5:$F$11,2,0)="Si",NOT(ISNUMBER(VLOOKUP(DATE($A$7,$A$9+1-1,MT11),Feriados,1,0)))),TRUE,FALSE),FALSE)</f>
        <v>1</v>
      </c>
      <c r="MU10" s="10" t="b">
        <f>IFERROR(IF(AND(VLOOKUP(MU12,'Días laborables y festivos'!$E$5:$F$11,2,0)="Si",NOT(ISNUMBER(VLOOKUP(DATE($A$7,$A$9+1-1,MU11),Feriados,1,0)))),TRUE,FALSE),FALSE)</f>
        <v>1</v>
      </c>
      <c r="MV10" s="10" t="b">
        <f>IFERROR(IF(AND(VLOOKUP(MV12,'Días laborables y festivos'!$E$5:$F$11,2,0)="Si",NOT(ISNUMBER(VLOOKUP(DATE($A$7,$A$9+1-1,MV11),Feriados,1,0)))),TRUE,FALSE),FALSE)</f>
        <v>0</v>
      </c>
      <c r="MW10" s="10" t="b">
        <f>IFERROR(IF(AND(VLOOKUP(MW12,'Días laborables y festivos'!$E$5:$F$11,2,0)="Si",NOT(ISNUMBER(VLOOKUP(DATE($A$7,$A$9+1-1,MW11),Feriados,1,0)))),TRUE,FALSE),FALSE)</f>
        <v>0</v>
      </c>
      <c r="MX10" s="10" t="b">
        <f>IFERROR(IF(AND(VLOOKUP(MX12,'Días laborables y festivos'!$E$5:$F$11,2,0)="Si",NOT(ISNUMBER(VLOOKUP(DATE($A$7,$A$9+1-1,MX11),Feriados,1,0)))),TRUE,FALSE),FALSE)</f>
        <v>1</v>
      </c>
      <c r="MY10" s="10" t="b">
        <f>IFERROR(IF(AND(VLOOKUP(MY12,'Días laborables y festivos'!$E$5:$F$11,2,0)="Si",NOT(ISNUMBER(VLOOKUP(DATE($A$7,$A$9+1-1,MY11),Feriados,1,0)))),TRUE,FALSE),FALSE)</f>
        <v>1</v>
      </c>
      <c r="MZ10" s="10" t="b">
        <f>IFERROR(IF(AND(VLOOKUP(MZ12,'Días laborables y festivos'!$E$5:$F$11,2,0)="Si",NOT(ISNUMBER(VLOOKUP(DATE($A$7,$A$9+1-1,MZ11),Feriados,1,0)))),TRUE,FALSE),FALSE)</f>
        <v>1</v>
      </c>
      <c r="NA10" s="10" t="b">
        <f>IFERROR(IF(AND(VLOOKUP(NA12,'Días laborables y festivos'!$E$5:$F$11,2,0)="Si",NOT(ISNUMBER(VLOOKUP(DATE($A$7,$A$9+1-1,NA11),Feriados,1,0)))),TRUE,FALSE),FALSE)</f>
        <v>1</v>
      </c>
      <c r="NB10" s="10" t="b">
        <f>IFERROR(IF(AND(VLOOKUP(NB12,'Días laborables y festivos'!$E$5:$F$11,2,0)="Si",NOT(ISNUMBER(VLOOKUP(DATE($A$7,$A$9+1-1,NB11),Feriados,1,0)))),TRUE,FALSE),FALSE)</f>
        <v>1</v>
      </c>
      <c r="NC10" s="10" t="b">
        <f>IFERROR(IF(AND(VLOOKUP(NC12,'Días laborables y festivos'!$E$5:$F$11,2,0)="Si",NOT(ISNUMBER(VLOOKUP(DATE($A$7,$A$9+1-1,NC11),Feriados,1,0)))),TRUE,FALSE),FALSE)</f>
        <v>0</v>
      </c>
      <c r="ND10" s="10" t="b">
        <f>IFERROR(IF(AND(VLOOKUP(ND12,'Días laborables y festivos'!$E$5:$F$11,2,0)="Si",NOT(ISNUMBER(VLOOKUP(DATE($A$7,$A$9+1-1,ND11),Feriados,1,0)))),TRUE,FALSE),FALSE)</f>
        <v>0</v>
      </c>
      <c r="NE10" s="10" t="b">
        <f>IFERROR(IF(AND(VLOOKUP(NE12,'Días laborables y festivos'!$E$5:$F$11,2,0)="Si",NOT(ISNUMBER(VLOOKUP(DATE($A$7,$A$9+1-1,NE11),Feriados,1,0)))),TRUE,FALSE),FALSE)</f>
        <v>1</v>
      </c>
      <c r="NF10" s="10" t="b">
        <f>IFERROR(IF(AND(VLOOKUP(NF12,'Días laborables y festivos'!$E$5:$F$11,2,0)="Si",NOT(ISNUMBER(VLOOKUP(DATE($A$7,$A$9+1-1,NF11),Feriados,1,0)))),TRUE,FALSE),FALSE)</f>
        <v>1</v>
      </c>
      <c r="NG10" s="10" t="b">
        <f>IFERROR(IF(AND(VLOOKUP(NG12,'Días laborables y festivos'!$E$5:$F$11,2,0)="Si",NOT(ISNUMBER(VLOOKUP(DATE($A$7,$A$9+1-1,NG11),Feriados,1,0)))),TRUE,FALSE),FALSE)</f>
        <v>1</v>
      </c>
      <c r="NH10" s="10" t="b">
        <f>IFERROR(IF(AND(VLOOKUP(NH12,'Días laborables y festivos'!$E$5:$F$11,2,0)="Si",NOT(ISNUMBER(VLOOKUP(DATE($A$7,$A$9+1-1,NH11),Feriados,1,0)))),TRUE,FALSE),FALSE)</f>
        <v>1</v>
      </c>
      <c r="NI10" s="10" t="b">
        <f>IFERROR(IF(AND(VLOOKUP(NI12,'Días laborables y festivos'!$E$5:$F$11,2,0)="Si",NOT(ISNUMBER(VLOOKUP(DATE($A$7,$A$9+1-1,NI11),Feriados,1,0)))),TRUE,FALSE),FALSE)</f>
        <v>1</v>
      </c>
      <c r="NJ10" s="31"/>
      <c r="NK10" s="31"/>
      <c r="NL10" s="31"/>
      <c r="NM10" s="31"/>
      <c r="NN10" s="59" t="s">
        <v>35</v>
      </c>
      <c r="NO10" s="59"/>
      <c r="NP10" s="59"/>
      <c r="NQ10" s="59"/>
      <c r="NR10" s="59"/>
      <c r="NS10" s="59"/>
      <c r="NT10" s="59"/>
    </row>
    <row r="11" spans="1:756" ht="15" customHeight="1" x14ac:dyDescent="0.35">
      <c r="A11" s="3"/>
      <c r="B11" s="13" t="str">
        <f>IF(AND((COLUMN()-1)&gt;31*($A$9-1),MONTH(DATE($A$7+INT(($A$9+1)/12),INT((COLUMN()-1)/31.001)+1,ROUNDUP(MOD(COLUMN()-1,31.001),0)))=ROUNDUP(MOD(1+$A$9-1,12.01),0)),ROUNDUP(MOD(COLUMN()-1,31.001),0),"")</f>
        <v/>
      </c>
      <c r="C11" s="13" t="str">
        <f t="shared" ref="C11:BN11" si="0">IF(AND((COLUMN()-1)&gt;31*($A$9-1),MONTH(DATE($A$7+INT(($A$9+1)/12),INT((COLUMN()-1)/31.001)+1,ROUNDUP(MOD(COLUMN()-1,31.001),0)))=ROUNDUP(MOD(1+$A$9-1,12.01),0)),ROUNDUP(MOD(COLUMN()-1,31.001),0),"")</f>
        <v/>
      </c>
      <c r="D11" s="13" t="str">
        <f t="shared" si="0"/>
        <v/>
      </c>
      <c r="E11" s="13" t="str">
        <f t="shared" si="0"/>
        <v/>
      </c>
      <c r="F11" s="13" t="str">
        <f t="shared" si="0"/>
        <v/>
      </c>
      <c r="G11" s="13" t="str">
        <f t="shared" si="0"/>
        <v/>
      </c>
      <c r="H11" s="13" t="str">
        <f t="shared" si="0"/>
        <v/>
      </c>
      <c r="I11" s="13" t="str">
        <f t="shared" si="0"/>
        <v/>
      </c>
      <c r="J11" s="13" t="str">
        <f t="shared" si="0"/>
        <v/>
      </c>
      <c r="K11" s="13" t="str">
        <f t="shared" si="0"/>
        <v/>
      </c>
      <c r="L11" s="13" t="str">
        <f t="shared" si="0"/>
        <v/>
      </c>
      <c r="M11" s="13" t="str">
        <f t="shared" si="0"/>
        <v/>
      </c>
      <c r="N11" s="13" t="str">
        <f t="shared" si="0"/>
        <v/>
      </c>
      <c r="O11" s="13" t="str">
        <f t="shared" si="0"/>
        <v/>
      </c>
      <c r="P11" s="13" t="str">
        <f t="shared" si="0"/>
        <v/>
      </c>
      <c r="Q11" s="13" t="str">
        <f t="shared" si="0"/>
        <v/>
      </c>
      <c r="R11" s="13" t="str">
        <f t="shared" si="0"/>
        <v/>
      </c>
      <c r="S11" s="13" t="str">
        <f t="shared" si="0"/>
        <v/>
      </c>
      <c r="T11" s="13" t="str">
        <f t="shared" si="0"/>
        <v/>
      </c>
      <c r="U11" s="13" t="str">
        <f t="shared" si="0"/>
        <v/>
      </c>
      <c r="V11" s="13" t="str">
        <f t="shared" si="0"/>
        <v/>
      </c>
      <c r="W11" s="13" t="str">
        <f t="shared" si="0"/>
        <v/>
      </c>
      <c r="X11" s="13" t="str">
        <f t="shared" si="0"/>
        <v/>
      </c>
      <c r="Y11" s="13" t="str">
        <f t="shared" si="0"/>
        <v/>
      </c>
      <c r="Z11" s="13" t="str">
        <f t="shared" si="0"/>
        <v/>
      </c>
      <c r="AA11" s="13" t="str">
        <f t="shared" si="0"/>
        <v/>
      </c>
      <c r="AB11" s="13" t="str">
        <f t="shared" si="0"/>
        <v/>
      </c>
      <c r="AC11" s="13" t="str">
        <f t="shared" si="0"/>
        <v/>
      </c>
      <c r="AD11" s="13" t="str">
        <f t="shared" si="0"/>
        <v/>
      </c>
      <c r="AE11" s="13" t="str">
        <f t="shared" si="0"/>
        <v/>
      </c>
      <c r="AF11" s="13" t="str">
        <f t="shared" si="0"/>
        <v/>
      </c>
      <c r="AG11" s="13" t="str">
        <f t="shared" si="0"/>
        <v/>
      </c>
      <c r="AH11" s="13" t="str">
        <f t="shared" si="0"/>
        <v/>
      </c>
      <c r="AI11" s="13" t="str">
        <f t="shared" si="0"/>
        <v/>
      </c>
      <c r="AJ11" s="13" t="str">
        <f t="shared" si="0"/>
        <v/>
      </c>
      <c r="AK11" s="13" t="str">
        <f t="shared" si="0"/>
        <v/>
      </c>
      <c r="AL11" s="13" t="str">
        <f t="shared" si="0"/>
        <v/>
      </c>
      <c r="AM11" s="13" t="str">
        <f t="shared" si="0"/>
        <v/>
      </c>
      <c r="AN11" s="13" t="str">
        <f t="shared" si="0"/>
        <v/>
      </c>
      <c r="AO11" s="13" t="str">
        <f t="shared" si="0"/>
        <v/>
      </c>
      <c r="AP11" s="13" t="str">
        <f t="shared" si="0"/>
        <v/>
      </c>
      <c r="AQ11" s="13" t="str">
        <f t="shared" si="0"/>
        <v/>
      </c>
      <c r="AR11" s="13" t="str">
        <f t="shared" si="0"/>
        <v/>
      </c>
      <c r="AS11" s="13" t="str">
        <f t="shared" si="0"/>
        <v/>
      </c>
      <c r="AT11" s="13" t="str">
        <f t="shared" si="0"/>
        <v/>
      </c>
      <c r="AU11" s="13" t="str">
        <f t="shared" si="0"/>
        <v/>
      </c>
      <c r="AV11" s="13" t="str">
        <f t="shared" si="0"/>
        <v/>
      </c>
      <c r="AW11" s="13" t="str">
        <f t="shared" si="0"/>
        <v/>
      </c>
      <c r="AX11" s="13" t="str">
        <f t="shared" si="0"/>
        <v/>
      </c>
      <c r="AY11" s="13" t="str">
        <f t="shared" si="0"/>
        <v/>
      </c>
      <c r="AZ11" s="13" t="str">
        <f t="shared" si="0"/>
        <v/>
      </c>
      <c r="BA11" s="13" t="str">
        <f t="shared" si="0"/>
        <v/>
      </c>
      <c r="BB11" s="13" t="str">
        <f t="shared" si="0"/>
        <v/>
      </c>
      <c r="BC11" s="13" t="str">
        <f t="shared" si="0"/>
        <v/>
      </c>
      <c r="BD11" s="13" t="str">
        <f t="shared" si="0"/>
        <v/>
      </c>
      <c r="BE11" s="13" t="str">
        <f t="shared" si="0"/>
        <v/>
      </c>
      <c r="BF11" s="13" t="str">
        <f t="shared" si="0"/>
        <v/>
      </c>
      <c r="BG11" s="13" t="str">
        <f t="shared" si="0"/>
        <v/>
      </c>
      <c r="BH11" s="13" t="str">
        <f t="shared" si="0"/>
        <v/>
      </c>
      <c r="BI11" s="13" t="str">
        <f t="shared" si="0"/>
        <v/>
      </c>
      <c r="BJ11" s="13" t="str">
        <f t="shared" si="0"/>
        <v/>
      </c>
      <c r="BK11" s="13" t="str">
        <f t="shared" si="0"/>
        <v/>
      </c>
      <c r="BL11" s="13" t="str">
        <f t="shared" si="0"/>
        <v/>
      </c>
      <c r="BM11" s="13" t="str">
        <f t="shared" si="0"/>
        <v/>
      </c>
      <c r="BN11" s="13" t="str">
        <f t="shared" si="0"/>
        <v/>
      </c>
      <c r="BO11" s="13" t="str">
        <f t="shared" ref="BO11:DZ11" si="1">IF(AND((COLUMN()-1)&gt;31*($A$9-1),MONTH(DATE($A$7+INT(($A$9+1)/12),INT((COLUMN()-1)/31.001)+1,ROUNDUP(MOD(COLUMN()-1,31.001),0)))=ROUNDUP(MOD(1+$A$9-1,12.01),0)),ROUNDUP(MOD(COLUMN()-1,31.001),0),"")</f>
        <v/>
      </c>
      <c r="BP11" s="13" t="str">
        <f t="shared" si="1"/>
        <v/>
      </c>
      <c r="BQ11" s="13" t="str">
        <f t="shared" si="1"/>
        <v/>
      </c>
      <c r="BR11" s="13" t="str">
        <f t="shared" si="1"/>
        <v/>
      </c>
      <c r="BS11" s="13" t="str">
        <f t="shared" si="1"/>
        <v/>
      </c>
      <c r="BT11" s="13" t="str">
        <f t="shared" si="1"/>
        <v/>
      </c>
      <c r="BU11" s="13" t="str">
        <f t="shared" si="1"/>
        <v/>
      </c>
      <c r="BV11" s="13" t="str">
        <f t="shared" si="1"/>
        <v/>
      </c>
      <c r="BW11" s="13" t="str">
        <f t="shared" si="1"/>
        <v/>
      </c>
      <c r="BX11" s="13" t="str">
        <f t="shared" si="1"/>
        <v/>
      </c>
      <c r="BY11" s="13" t="str">
        <f t="shared" si="1"/>
        <v/>
      </c>
      <c r="BZ11" s="13" t="str">
        <f t="shared" si="1"/>
        <v/>
      </c>
      <c r="CA11" s="13" t="str">
        <f t="shared" si="1"/>
        <v/>
      </c>
      <c r="CB11" s="13" t="str">
        <f t="shared" si="1"/>
        <v/>
      </c>
      <c r="CC11" s="13" t="str">
        <f t="shared" si="1"/>
        <v/>
      </c>
      <c r="CD11" s="13" t="str">
        <f t="shared" si="1"/>
        <v/>
      </c>
      <c r="CE11" s="13" t="str">
        <f t="shared" si="1"/>
        <v/>
      </c>
      <c r="CF11" s="13" t="str">
        <f t="shared" si="1"/>
        <v/>
      </c>
      <c r="CG11" s="13" t="str">
        <f t="shared" si="1"/>
        <v/>
      </c>
      <c r="CH11" s="13" t="str">
        <f t="shared" si="1"/>
        <v/>
      </c>
      <c r="CI11" s="13" t="str">
        <f t="shared" si="1"/>
        <v/>
      </c>
      <c r="CJ11" s="13" t="str">
        <f t="shared" si="1"/>
        <v/>
      </c>
      <c r="CK11" s="13" t="str">
        <f t="shared" si="1"/>
        <v/>
      </c>
      <c r="CL11" s="13" t="str">
        <f t="shared" si="1"/>
        <v/>
      </c>
      <c r="CM11" s="13" t="str">
        <f t="shared" si="1"/>
        <v/>
      </c>
      <c r="CN11" s="13" t="str">
        <f t="shared" si="1"/>
        <v/>
      </c>
      <c r="CO11" s="13" t="str">
        <f t="shared" si="1"/>
        <v/>
      </c>
      <c r="CP11" s="13" t="str">
        <f t="shared" si="1"/>
        <v/>
      </c>
      <c r="CQ11" s="13" t="str">
        <f t="shared" si="1"/>
        <v/>
      </c>
      <c r="CR11" s="13" t="str">
        <f t="shared" si="1"/>
        <v/>
      </c>
      <c r="CS11" s="13" t="str">
        <f t="shared" si="1"/>
        <v/>
      </c>
      <c r="CT11" s="13" t="str">
        <f t="shared" si="1"/>
        <v/>
      </c>
      <c r="CU11" s="13" t="str">
        <f t="shared" si="1"/>
        <v/>
      </c>
      <c r="CV11" s="13" t="str">
        <f t="shared" si="1"/>
        <v/>
      </c>
      <c r="CW11" s="13" t="str">
        <f t="shared" si="1"/>
        <v/>
      </c>
      <c r="CX11" s="13" t="str">
        <f t="shared" si="1"/>
        <v/>
      </c>
      <c r="CY11" s="13" t="str">
        <f t="shared" si="1"/>
        <v/>
      </c>
      <c r="CZ11" s="13" t="str">
        <f t="shared" si="1"/>
        <v/>
      </c>
      <c r="DA11" s="13" t="str">
        <f t="shared" si="1"/>
        <v/>
      </c>
      <c r="DB11" s="13" t="str">
        <f t="shared" si="1"/>
        <v/>
      </c>
      <c r="DC11" s="13" t="str">
        <f t="shared" si="1"/>
        <v/>
      </c>
      <c r="DD11" s="13" t="str">
        <f t="shared" si="1"/>
        <v/>
      </c>
      <c r="DE11" s="13" t="str">
        <f t="shared" si="1"/>
        <v/>
      </c>
      <c r="DF11" s="13" t="str">
        <f t="shared" si="1"/>
        <v/>
      </c>
      <c r="DG11" s="13" t="str">
        <f t="shared" si="1"/>
        <v/>
      </c>
      <c r="DH11" s="13" t="str">
        <f t="shared" si="1"/>
        <v/>
      </c>
      <c r="DI11" s="13" t="str">
        <f t="shared" si="1"/>
        <v/>
      </c>
      <c r="DJ11" s="13" t="str">
        <f t="shared" si="1"/>
        <v/>
      </c>
      <c r="DK11" s="13" t="str">
        <f t="shared" si="1"/>
        <v/>
      </c>
      <c r="DL11" s="13" t="str">
        <f t="shared" si="1"/>
        <v/>
      </c>
      <c r="DM11" s="13" t="str">
        <f t="shared" si="1"/>
        <v/>
      </c>
      <c r="DN11" s="13" t="str">
        <f t="shared" si="1"/>
        <v/>
      </c>
      <c r="DO11" s="13" t="str">
        <f t="shared" si="1"/>
        <v/>
      </c>
      <c r="DP11" s="13" t="str">
        <f t="shared" si="1"/>
        <v/>
      </c>
      <c r="DQ11" s="13" t="str">
        <f t="shared" si="1"/>
        <v/>
      </c>
      <c r="DR11" s="13" t="str">
        <f t="shared" si="1"/>
        <v/>
      </c>
      <c r="DS11" s="13" t="str">
        <f t="shared" si="1"/>
        <v/>
      </c>
      <c r="DT11" s="13" t="str">
        <f t="shared" si="1"/>
        <v/>
      </c>
      <c r="DU11" s="13" t="str">
        <f t="shared" si="1"/>
        <v/>
      </c>
      <c r="DV11" s="13" t="str">
        <f t="shared" si="1"/>
        <v/>
      </c>
      <c r="DW11" s="13" t="str">
        <f t="shared" si="1"/>
        <v/>
      </c>
      <c r="DX11" s="13" t="str">
        <f t="shared" si="1"/>
        <v/>
      </c>
      <c r="DY11" s="13" t="str">
        <f t="shared" si="1"/>
        <v/>
      </c>
      <c r="DZ11" s="13" t="str">
        <f t="shared" si="1"/>
        <v/>
      </c>
      <c r="EA11" s="13" t="str">
        <f t="shared" ref="EA11:GL11" si="2">IF(AND((COLUMN()-1)&gt;31*($A$9-1),MONTH(DATE($A$7+INT(($A$9+1)/12),INT((COLUMN()-1)/31.001)+1,ROUNDUP(MOD(COLUMN()-1,31.001),0)))=ROUNDUP(MOD(1+$A$9-1,12.01),0)),ROUNDUP(MOD(COLUMN()-1,31.001),0),"")</f>
        <v/>
      </c>
      <c r="EB11" s="13" t="str">
        <f t="shared" si="2"/>
        <v/>
      </c>
      <c r="EC11" s="13" t="str">
        <f t="shared" si="2"/>
        <v/>
      </c>
      <c r="ED11" s="13" t="str">
        <f t="shared" si="2"/>
        <v/>
      </c>
      <c r="EE11" s="13" t="str">
        <f t="shared" si="2"/>
        <v/>
      </c>
      <c r="EF11" s="13" t="str">
        <f t="shared" si="2"/>
        <v/>
      </c>
      <c r="EG11" s="13" t="str">
        <f t="shared" si="2"/>
        <v/>
      </c>
      <c r="EH11" s="13" t="str">
        <f t="shared" si="2"/>
        <v/>
      </c>
      <c r="EI11" s="13" t="str">
        <f t="shared" si="2"/>
        <v/>
      </c>
      <c r="EJ11" s="13" t="str">
        <f t="shared" si="2"/>
        <v/>
      </c>
      <c r="EK11" s="13" t="str">
        <f t="shared" si="2"/>
        <v/>
      </c>
      <c r="EL11" s="13" t="str">
        <f t="shared" si="2"/>
        <v/>
      </c>
      <c r="EM11" s="13" t="str">
        <f t="shared" si="2"/>
        <v/>
      </c>
      <c r="EN11" s="13" t="str">
        <f t="shared" si="2"/>
        <v/>
      </c>
      <c r="EO11" s="13" t="str">
        <f t="shared" si="2"/>
        <v/>
      </c>
      <c r="EP11" s="13" t="str">
        <f t="shared" si="2"/>
        <v/>
      </c>
      <c r="EQ11" s="13" t="str">
        <f t="shared" si="2"/>
        <v/>
      </c>
      <c r="ER11" s="13" t="str">
        <f t="shared" si="2"/>
        <v/>
      </c>
      <c r="ES11" s="13" t="str">
        <f t="shared" si="2"/>
        <v/>
      </c>
      <c r="ET11" s="13" t="str">
        <f t="shared" si="2"/>
        <v/>
      </c>
      <c r="EU11" s="13" t="str">
        <f t="shared" si="2"/>
        <v/>
      </c>
      <c r="EV11" s="13" t="str">
        <f t="shared" si="2"/>
        <v/>
      </c>
      <c r="EW11" s="13" t="str">
        <f t="shared" si="2"/>
        <v/>
      </c>
      <c r="EX11" s="13" t="str">
        <f t="shared" si="2"/>
        <v/>
      </c>
      <c r="EY11" s="13" t="str">
        <f t="shared" si="2"/>
        <v/>
      </c>
      <c r="EZ11" s="13" t="str">
        <f t="shared" si="2"/>
        <v/>
      </c>
      <c r="FA11" s="13" t="str">
        <f t="shared" si="2"/>
        <v/>
      </c>
      <c r="FB11" s="13" t="str">
        <f t="shared" si="2"/>
        <v/>
      </c>
      <c r="FC11" s="13" t="str">
        <f t="shared" si="2"/>
        <v/>
      </c>
      <c r="FD11" s="13" t="str">
        <f t="shared" si="2"/>
        <v/>
      </c>
      <c r="FE11" s="13" t="str">
        <f t="shared" si="2"/>
        <v/>
      </c>
      <c r="FF11" s="13" t="str">
        <f t="shared" si="2"/>
        <v/>
      </c>
      <c r="FG11" s="13" t="str">
        <f t="shared" si="2"/>
        <v/>
      </c>
      <c r="FH11" s="13" t="str">
        <f t="shared" si="2"/>
        <v/>
      </c>
      <c r="FI11" s="13" t="str">
        <f t="shared" si="2"/>
        <v/>
      </c>
      <c r="FJ11" s="13" t="str">
        <f t="shared" si="2"/>
        <v/>
      </c>
      <c r="FK11" s="13" t="str">
        <f t="shared" si="2"/>
        <v/>
      </c>
      <c r="FL11" s="13" t="str">
        <f t="shared" si="2"/>
        <v/>
      </c>
      <c r="FM11" s="13" t="str">
        <f t="shared" si="2"/>
        <v/>
      </c>
      <c r="FN11" s="13" t="str">
        <f t="shared" si="2"/>
        <v/>
      </c>
      <c r="FO11" s="13" t="str">
        <f t="shared" si="2"/>
        <v/>
      </c>
      <c r="FP11" s="13" t="str">
        <f t="shared" si="2"/>
        <v/>
      </c>
      <c r="FQ11" s="13" t="str">
        <f t="shared" si="2"/>
        <v/>
      </c>
      <c r="FR11" s="13" t="str">
        <f t="shared" si="2"/>
        <v/>
      </c>
      <c r="FS11" s="13" t="str">
        <f t="shared" si="2"/>
        <v/>
      </c>
      <c r="FT11" s="13" t="str">
        <f t="shared" si="2"/>
        <v/>
      </c>
      <c r="FU11" s="13" t="str">
        <f t="shared" si="2"/>
        <v/>
      </c>
      <c r="FV11" s="13" t="str">
        <f t="shared" si="2"/>
        <v/>
      </c>
      <c r="FW11" s="13" t="str">
        <f t="shared" si="2"/>
        <v/>
      </c>
      <c r="FX11" s="13" t="str">
        <f t="shared" si="2"/>
        <v/>
      </c>
      <c r="FY11" s="13" t="str">
        <f t="shared" si="2"/>
        <v/>
      </c>
      <c r="FZ11" s="13" t="str">
        <f t="shared" si="2"/>
        <v/>
      </c>
      <c r="GA11" s="13" t="str">
        <f t="shared" si="2"/>
        <v/>
      </c>
      <c r="GB11" s="13" t="str">
        <f t="shared" si="2"/>
        <v/>
      </c>
      <c r="GC11" s="13" t="str">
        <f t="shared" si="2"/>
        <v/>
      </c>
      <c r="GD11" s="13" t="str">
        <f t="shared" si="2"/>
        <v/>
      </c>
      <c r="GE11" s="13" t="str">
        <f t="shared" si="2"/>
        <v/>
      </c>
      <c r="GF11" s="13" t="str">
        <f t="shared" si="2"/>
        <v/>
      </c>
      <c r="GG11" s="13" t="str">
        <f t="shared" si="2"/>
        <v/>
      </c>
      <c r="GH11" s="13" t="str">
        <f t="shared" si="2"/>
        <v/>
      </c>
      <c r="GI11" s="13" t="str">
        <f t="shared" si="2"/>
        <v/>
      </c>
      <c r="GJ11" s="13" t="str">
        <f t="shared" si="2"/>
        <v/>
      </c>
      <c r="GK11" s="13" t="str">
        <f t="shared" si="2"/>
        <v/>
      </c>
      <c r="GL11" s="13" t="str">
        <f t="shared" si="2"/>
        <v/>
      </c>
      <c r="GM11" s="13" t="str">
        <f t="shared" ref="GM11:IX11" si="3">IF(AND((COLUMN()-1)&gt;31*($A$9-1),MONTH(DATE($A$7+INT(($A$9+1)/12),INT((COLUMN()-1)/31.001)+1,ROUNDUP(MOD(COLUMN()-1,31.001),0)))=ROUNDUP(MOD(1+$A$9-1,12.01),0)),ROUNDUP(MOD(COLUMN()-1,31.001),0),"")</f>
        <v/>
      </c>
      <c r="GN11" s="13" t="str">
        <f t="shared" si="3"/>
        <v/>
      </c>
      <c r="GO11" s="13" t="str">
        <f t="shared" si="3"/>
        <v/>
      </c>
      <c r="GP11" s="13" t="str">
        <f t="shared" si="3"/>
        <v/>
      </c>
      <c r="GQ11" s="13" t="str">
        <f t="shared" si="3"/>
        <v/>
      </c>
      <c r="GR11" s="13" t="str">
        <f t="shared" si="3"/>
        <v/>
      </c>
      <c r="GS11" s="13" t="str">
        <f t="shared" si="3"/>
        <v/>
      </c>
      <c r="GT11" s="13" t="str">
        <f t="shared" si="3"/>
        <v/>
      </c>
      <c r="GU11" s="13" t="str">
        <f t="shared" si="3"/>
        <v/>
      </c>
      <c r="GV11" s="13" t="str">
        <f t="shared" si="3"/>
        <v/>
      </c>
      <c r="GW11" s="13" t="str">
        <f t="shared" si="3"/>
        <v/>
      </c>
      <c r="GX11" s="13" t="str">
        <f t="shared" si="3"/>
        <v/>
      </c>
      <c r="GY11" s="13" t="str">
        <f t="shared" si="3"/>
        <v/>
      </c>
      <c r="GZ11" s="13" t="str">
        <f t="shared" si="3"/>
        <v/>
      </c>
      <c r="HA11" s="13" t="str">
        <f t="shared" si="3"/>
        <v/>
      </c>
      <c r="HB11" s="13" t="str">
        <f t="shared" si="3"/>
        <v/>
      </c>
      <c r="HC11" s="13" t="str">
        <f t="shared" si="3"/>
        <v/>
      </c>
      <c r="HD11" s="13" t="str">
        <f t="shared" si="3"/>
        <v/>
      </c>
      <c r="HE11" s="13" t="str">
        <f t="shared" si="3"/>
        <v/>
      </c>
      <c r="HF11" s="13" t="str">
        <f t="shared" si="3"/>
        <v/>
      </c>
      <c r="HG11" s="13" t="str">
        <f t="shared" si="3"/>
        <v/>
      </c>
      <c r="HH11" s="13" t="str">
        <f t="shared" si="3"/>
        <v/>
      </c>
      <c r="HI11" s="13" t="str">
        <f t="shared" si="3"/>
        <v/>
      </c>
      <c r="HJ11" s="13" t="str">
        <f t="shared" si="3"/>
        <v/>
      </c>
      <c r="HK11" s="13" t="str">
        <f t="shared" si="3"/>
        <v/>
      </c>
      <c r="HL11" s="13" t="str">
        <f t="shared" si="3"/>
        <v/>
      </c>
      <c r="HM11" s="13" t="str">
        <f t="shared" si="3"/>
        <v/>
      </c>
      <c r="HN11" s="13" t="str">
        <f t="shared" si="3"/>
        <v/>
      </c>
      <c r="HO11" s="13" t="str">
        <f t="shared" si="3"/>
        <v/>
      </c>
      <c r="HP11" s="13" t="str">
        <f t="shared" si="3"/>
        <v/>
      </c>
      <c r="HQ11" s="13" t="str">
        <f t="shared" si="3"/>
        <v/>
      </c>
      <c r="HR11" s="13" t="str">
        <f t="shared" si="3"/>
        <v/>
      </c>
      <c r="HS11" s="13" t="str">
        <f t="shared" si="3"/>
        <v/>
      </c>
      <c r="HT11" s="13" t="str">
        <f t="shared" si="3"/>
        <v/>
      </c>
      <c r="HU11" s="13" t="str">
        <f t="shared" si="3"/>
        <v/>
      </c>
      <c r="HV11" s="13" t="str">
        <f t="shared" si="3"/>
        <v/>
      </c>
      <c r="HW11" s="13" t="str">
        <f t="shared" si="3"/>
        <v/>
      </c>
      <c r="HX11" s="13" t="str">
        <f t="shared" si="3"/>
        <v/>
      </c>
      <c r="HY11" s="13" t="str">
        <f t="shared" si="3"/>
        <v/>
      </c>
      <c r="HZ11" s="13" t="str">
        <f t="shared" si="3"/>
        <v/>
      </c>
      <c r="IA11" s="13" t="str">
        <f t="shared" si="3"/>
        <v/>
      </c>
      <c r="IB11" s="13" t="str">
        <f t="shared" si="3"/>
        <v/>
      </c>
      <c r="IC11" s="13" t="str">
        <f t="shared" si="3"/>
        <v/>
      </c>
      <c r="ID11" s="13" t="str">
        <f t="shared" si="3"/>
        <v/>
      </c>
      <c r="IE11" s="13" t="str">
        <f t="shared" si="3"/>
        <v/>
      </c>
      <c r="IF11" s="13" t="str">
        <f t="shared" si="3"/>
        <v/>
      </c>
      <c r="IG11" s="13" t="str">
        <f t="shared" si="3"/>
        <v/>
      </c>
      <c r="IH11" s="13" t="str">
        <f t="shared" si="3"/>
        <v/>
      </c>
      <c r="II11" s="13" t="str">
        <f t="shared" si="3"/>
        <v/>
      </c>
      <c r="IJ11" s="13" t="str">
        <f t="shared" si="3"/>
        <v/>
      </c>
      <c r="IK11" s="13" t="str">
        <f t="shared" si="3"/>
        <v/>
      </c>
      <c r="IL11" s="13" t="str">
        <f t="shared" si="3"/>
        <v/>
      </c>
      <c r="IM11" s="13" t="str">
        <f t="shared" si="3"/>
        <v/>
      </c>
      <c r="IN11" s="13" t="str">
        <f t="shared" si="3"/>
        <v/>
      </c>
      <c r="IO11" s="13" t="str">
        <f t="shared" si="3"/>
        <v/>
      </c>
      <c r="IP11" s="13" t="str">
        <f t="shared" si="3"/>
        <v/>
      </c>
      <c r="IQ11" s="13" t="str">
        <f t="shared" si="3"/>
        <v/>
      </c>
      <c r="IR11" s="13" t="str">
        <f t="shared" si="3"/>
        <v/>
      </c>
      <c r="IS11" s="13" t="str">
        <f t="shared" si="3"/>
        <v/>
      </c>
      <c r="IT11" s="13" t="str">
        <f t="shared" si="3"/>
        <v/>
      </c>
      <c r="IU11" s="13" t="str">
        <f t="shared" si="3"/>
        <v/>
      </c>
      <c r="IV11" s="13" t="str">
        <f t="shared" si="3"/>
        <v/>
      </c>
      <c r="IW11" s="13" t="str">
        <f t="shared" si="3"/>
        <v/>
      </c>
      <c r="IX11" s="13" t="str">
        <f t="shared" si="3"/>
        <v/>
      </c>
      <c r="IY11" s="13" t="str">
        <f t="shared" ref="IY11:LJ11" si="4">IF(AND((COLUMN()-1)&gt;31*($A$9-1),MONTH(DATE($A$7+INT(($A$9+1)/12),INT((COLUMN()-1)/31.001)+1,ROUNDUP(MOD(COLUMN()-1,31.001),0)))=ROUNDUP(MOD(1+$A$9-1,12.01),0)),ROUNDUP(MOD(COLUMN()-1,31.001),0),"")</f>
        <v/>
      </c>
      <c r="IZ11" s="13" t="str">
        <f t="shared" si="4"/>
        <v/>
      </c>
      <c r="JA11" s="13" t="str">
        <f t="shared" si="4"/>
        <v/>
      </c>
      <c r="JB11" s="13" t="str">
        <f t="shared" si="4"/>
        <v/>
      </c>
      <c r="JC11" s="13" t="str">
        <f t="shared" si="4"/>
        <v/>
      </c>
      <c r="JD11" s="13" t="str">
        <f t="shared" si="4"/>
        <v/>
      </c>
      <c r="JE11" s="13" t="str">
        <f t="shared" si="4"/>
        <v/>
      </c>
      <c r="JF11" s="13" t="str">
        <f t="shared" si="4"/>
        <v/>
      </c>
      <c r="JG11" s="13" t="str">
        <f t="shared" si="4"/>
        <v/>
      </c>
      <c r="JH11" s="13" t="str">
        <f t="shared" si="4"/>
        <v/>
      </c>
      <c r="JI11" s="13" t="str">
        <f t="shared" si="4"/>
        <v/>
      </c>
      <c r="JJ11" s="13" t="str">
        <f t="shared" si="4"/>
        <v/>
      </c>
      <c r="JK11" s="13" t="str">
        <f t="shared" si="4"/>
        <v/>
      </c>
      <c r="JL11" s="13" t="str">
        <f t="shared" si="4"/>
        <v/>
      </c>
      <c r="JM11" s="13" t="str">
        <f t="shared" si="4"/>
        <v/>
      </c>
      <c r="JN11" s="13" t="str">
        <f t="shared" si="4"/>
        <v/>
      </c>
      <c r="JO11" s="13" t="str">
        <f t="shared" si="4"/>
        <v/>
      </c>
      <c r="JP11" s="13" t="str">
        <f t="shared" si="4"/>
        <v/>
      </c>
      <c r="JQ11" s="13" t="str">
        <f t="shared" si="4"/>
        <v/>
      </c>
      <c r="JR11" s="13" t="str">
        <f t="shared" si="4"/>
        <v/>
      </c>
      <c r="JS11" s="13" t="str">
        <f t="shared" si="4"/>
        <v/>
      </c>
      <c r="JT11" s="13" t="str">
        <f t="shared" si="4"/>
        <v/>
      </c>
      <c r="JU11" s="13" t="str">
        <f t="shared" si="4"/>
        <v/>
      </c>
      <c r="JV11" s="13" t="str">
        <f t="shared" si="4"/>
        <v/>
      </c>
      <c r="JW11" s="13" t="str">
        <f t="shared" si="4"/>
        <v/>
      </c>
      <c r="JX11" s="13" t="str">
        <f t="shared" si="4"/>
        <v/>
      </c>
      <c r="JY11" s="13" t="str">
        <f t="shared" si="4"/>
        <v/>
      </c>
      <c r="JZ11" s="13" t="str">
        <f t="shared" si="4"/>
        <v/>
      </c>
      <c r="KA11" s="13" t="str">
        <f t="shared" si="4"/>
        <v/>
      </c>
      <c r="KB11" s="13" t="str">
        <f t="shared" si="4"/>
        <v/>
      </c>
      <c r="KC11" s="13" t="str">
        <f t="shared" si="4"/>
        <v/>
      </c>
      <c r="KD11" s="13" t="str">
        <f t="shared" si="4"/>
        <v/>
      </c>
      <c r="KE11" s="13" t="str">
        <f t="shared" si="4"/>
        <v/>
      </c>
      <c r="KF11" s="13" t="str">
        <f t="shared" si="4"/>
        <v/>
      </c>
      <c r="KG11" s="13" t="str">
        <f t="shared" si="4"/>
        <v/>
      </c>
      <c r="KH11" s="13" t="str">
        <f t="shared" si="4"/>
        <v/>
      </c>
      <c r="KI11" s="13" t="str">
        <f t="shared" si="4"/>
        <v/>
      </c>
      <c r="KJ11" s="13" t="str">
        <f t="shared" si="4"/>
        <v/>
      </c>
      <c r="KK11" s="13" t="str">
        <f t="shared" si="4"/>
        <v/>
      </c>
      <c r="KL11" s="13" t="str">
        <f t="shared" si="4"/>
        <v/>
      </c>
      <c r="KM11" s="13" t="str">
        <f t="shared" si="4"/>
        <v/>
      </c>
      <c r="KN11" s="13" t="str">
        <f t="shared" si="4"/>
        <v/>
      </c>
      <c r="KO11" s="13" t="str">
        <f t="shared" si="4"/>
        <v/>
      </c>
      <c r="KP11" s="13" t="str">
        <f t="shared" si="4"/>
        <v/>
      </c>
      <c r="KQ11" s="13" t="str">
        <f t="shared" si="4"/>
        <v/>
      </c>
      <c r="KR11" s="13" t="str">
        <f t="shared" si="4"/>
        <v/>
      </c>
      <c r="KS11" s="13" t="str">
        <f t="shared" si="4"/>
        <v/>
      </c>
      <c r="KT11" s="13" t="str">
        <f t="shared" si="4"/>
        <v/>
      </c>
      <c r="KU11" s="13" t="str">
        <f t="shared" si="4"/>
        <v/>
      </c>
      <c r="KV11" s="13" t="str">
        <f t="shared" si="4"/>
        <v/>
      </c>
      <c r="KW11" s="13" t="str">
        <f t="shared" si="4"/>
        <v/>
      </c>
      <c r="KX11" s="13" t="str">
        <f t="shared" si="4"/>
        <v/>
      </c>
      <c r="KY11" s="13" t="str">
        <f t="shared" si="4"/>
        <v/>
      </c>
      <c r="KZ11" s="13" t="str">
        <f t="shared" si="4"/>
        <v/>
      </c>
      <c r="LA11" s="13" t="str">
        <f t="shared" si="4"/>
        <v/>
      </c>
      <c r="LB11" s="13" t="str">
        <f t="shared" si="4"/>
        <v/>
      </c>
      <c r="LC11" s="13" t="str">
        <f t="shared" si="4"/>
        <v/>
      </c>
      <c r="LD11" s="13" t="str">
        <f t="shared" si="4"/>
        <v/>
      </c>
      <c r="LE11" s="13" t="str">
        <f t="shared" si="4"/>
        <v/>
      </c>
      <c r="LF11" s="13" t="str">
        <f t="shared" si="4"/>
        <v/>
      </c>
      <c r="LG11" s="13" t="str">
        <f t="shared" si="4"/>
        <v/>
      </c>
      <c r="LH11" s="13" t="str">
        <f t="shared" si="4"/>
        <v/>
      </c>
      <c r="LI11" s="13" t="str">
        <f t="shared" si="4"/>
        <v/>
      </c>
      <c r="LJ11" s="13" t="str">
        <f t="shared" si="4"/>
        <v/>
      </c>
      <c r="LK11" s="13" t="str">
        <f t="shared" ref="LK11:NI11" si="5">IF(AND((COLUMN()-1)&gt;31*($A$9-1),MONTH(DATE($A$7+INT(($A$9+1)/12),INT((COLUMN()-1)/31.001)+1,ROUNDUP(MOD(COLUMN()-1,31.001),0)))=ROUNDUP(MOD(1+$A$9-1,12.01),0)),ROUNDUP(MOD(COLUMN()-1,31.001),0),"")</f>
        <v/>
      </c>
      <c r="LL11" s="13" t="str">
        <f t="shared" si="5"/>
        <v/>
      </c>
      <c r="LM11" s="13" t="str">
        <f t="shared" si="5"/>
        <v/>
      </c>
      <c r="LN11" s="13" t="str">
        <f t="shared" si="5"/>
        <v/>
      </c>
      <c r="LO11" s="13" t="str">
        <f t="shared" si="5"/>
        <v/>
      </c>
      <c r="LP11" s="13" t="str">
        <f t="shared" si="5"/>
        <v/>
      </c>
      <c r="LQ11" s="13" t="str">
        <f t="shared" si="5"/>
        <v/>
      </c>
      <c r="LR11" s="13" t="str">
        <f t="shared" si="5"/>
        <v/>
      </c>
      <c r="LS11" s="13" t="str">
        <f t="shared" si="5"/>
        <v/>
      </c>
      <c r="LT11" s="13" t="str">
        <f t="shared" si="5"/>
        <v/>
      </c>
      <c r="LU11" s="13" t="str">
        <f t="shared" si="5"/>
        <v/>
      </c>
      <c r="LV11" s="13" t="str">
        <f t="shared" si="5"/>
        <v/>
      </c>
      <c r="LW11" s="13" t="str">
        <f t="shared" si="5"/>
        <v/>
      </c>
      <c r="LX11" s="13" t="str">
        <f t="shared" si="5"/>
        <v/>
      </c>
      <c r="LY11" s="13" t="str">
        <f t="shared" si="5"/>
        <v/>
      </c>
      <c r="LZ11" s="13" t="str">
        <f t="shared" si="5"/>
        <v/>
      </c>
      <c r="MA11" s="13" t="str">
        <f t="shared" si="5"/>
        <v/>
      </c>
      <c r="MB11" s="13" t="str">
        <f t="shared" si="5"/>
        <v/>
      </c>
      <c r="MC11" s="13" t="str">
        <f t="shared" si="5"/>
        <v/>
      </c>
      <c r="MD11" s="13" t="str">
        <f t="shared" si="5"/>
        <v/>
      </c>
      <c r="ME11" s="13">
        <f t="shared" si="5"/>
        <v>1</v>
      </c>
      <c r="MF11" s="13">
        <f t="shared" si="5"/>
        <v>2</v>
      </c>
      <c r="MG11" s="13">
        <f t="shared" si="5"/>
        <v>3</v>
      </c>
      <c r="MH11" s="13">
        <f t="shared" si="5"/>
        <v>4</v>
      </c>
      <c r="MI11" s="13">
        <f t="shared" si="5"/>
        <v>5</v>
      </c>
      <c r="MJ11" s="13">
        <f t="shared" si="5"/>
        <v>6</v>
      </c>
      <c r="MK11" s="13">
        <f t="shared" si="5"/>
        <v>7</v>
      </c>
      <c r="ML11" s="13">
        <f t="shared" si="5"/>
        <v>8</v>
      </c>
      <c r="MM11" s="13">
        <f t="shared" si="5"/>
        <v>9</v>
      </c>
      <c r="MN11" s="13">
        <f t="shared" si="5"/>
        <v>10</v>
      </c>
      <c r="MO11" s="13">
        <f t="shared" si="5"/>
        <v>11</v>
      </c>
      <c r="MP11" s="13">
        <f t="shared" si="5"/>
        <v>12</v>
      </c>
      <c r="MQ11" s="13">
        <f t="shared" si="5"/>
        <v>13</v>
      </c>
      <c r="MR11" s="13">
        <f t="shared" si="5"/>
        <v>14</v>
      </c>
      <c r="MS11" s="13">
        <f t="shared" si="5"/>
        <v>15</v>
      </c>
      <c r="MT11" s="13">
        <f t="shared" si="5"/>
        <v>16</v>
      </c>
      <c r="MU11" s="13">
        <f t="shared" si="5"/>
        <v>17</v>
      </c>
      <c r="MV11" s="13">
        <f t="shared" si="5"/>
        <v>18</v>
      </c>
      <c r="MW11" s="13">
        <f t="shared" si="5"/>
        <v>19</v>
      </c>
      <c r="MX11" s="13">
        <f t="shared" si="5"/>
        <v>20</v>
      </c>
      <c r="MY11" s="13">
        <f t="shared" si="5"/>
        <v>21</v>
      </c>
      <c r="MZ11" s="13">
        <f t="shared" si="5"/>
        <v>22</v>
      </c>
      <c r="NA11" s="13">
        <f t="shared" si="5"/>
        <v>23</v>
      </c>
      <c r="NB11" s="13">
        <f t="shared" si="5"/>
        <v>24</v>
      </c>
      <c r="NC11" s="13">
        <f t="shared" si="5"/>
        <v>25</v>
      </c>
      <c r="ND11" s="13">
        <f t="shared" si="5"/>
        <v>26</v>
      </c>
      <c r="NE11" s="13">
        <f t="shared" si="5"/>
        <v>27</v>
      </c>
      <c r="NF11" s="13">
        <f t="shared" si="5"/>
        <v>28</v>
      </c>
      <c r="NG11" s="13">
        <f t="shared" si="5"/>
        <v>29</v>
      </c>
      <c r="NH11" s="13">
        <f t="shared" si="5"/>
        <v>30</v>
      </c>
      <c r="NI11" s="28">
        <f t="shared" si="5"/>
        <v>31</v>
      </c>
      <c r="NJ11" s="29"/>
      <c r="NK11" s="39"/>
      <c r="NL11" s="48"/>
      <c r="NM11" s="49"/>
      <c r="NN11" s="52" t="s">
        <v>28</v>
      </c>
      <c r="NO11" s="53" t="s">
        <v>29</v>
      </c>
      <c r="NP11" s="44"/>
      <c r="NQ11" s="56" t="s">
        <v>33</v>
      </c>
      <c r="NR11" s="57"/>
      <c r="NS11" s="57"/>
      <c r="NT11" s="57"/>
    </row>
    <row r="12" spans="1:756" s="78" customFormat="1" ht="23.25" customHeight="1" x14ac:dyDescent="0.35">
      <c r="A12" s="67" t="s">
        <v>24</v>
      </c>
      <c r="B12" s="67" t="str">
        <f>IF(B$11="","",VLOOKUP(WEEKDAY(DATE($A$7,$A$9+1-1,B11),2),Auxiliar!$D$1:$E$7,2,0))</f>
        <v/>
      </c>
      <c r="C12" s="67" t="str">
        <f>IF(C$11="","",VLOOKUP(WEEKDAY(DATE($A$7,$A$9+1-1,C11),2),Auxiliar!$D$1:$E$7,2,0))</f>
        <v/>
      </c>
      <c r="D12" s="67" t="str">
        <f>IF(D$11="","",VLOOKUP(WEEKDAY(DATE($A$7,$A$9+1-1,D11),2),Auxiliar!$D$1:$E$7,2,0))</f>
        <v/>
      </c>
      <c r="E12" s="67" t="str">
        <f>IF(E$11="","",VLOOKUP(WEEKDAY(DATE($A$7,$A$9+1-1,E11),2),Auxiliar!$D$1:$E$7,2,0))</f>
        <v/>
      </c>
      <c r="F12" s="67" t="str">
        <f>IF(F$11="","",VLOOKUP(WEEKDAY(DATE($A$7,$A$9+1-1,F11),2),Auxiliar!$D$1:$E$7,2,0))</f>
        <v/>
      </c>
      <c r="G12" s="67" t="str">
        <f>IF(G$11="","",VLOOKUP(WEEKDAY(DATE($A$7,$A$9+1-1,G11),2),Auxiliar!$D$1:$E$7,2,0))</f>
        <v/>
      </c>
      <c r="H12" s="67" t="str">
        <f>IF(H$11="","",VLOOKUP(WEEKDAY(DATE($A$7,$A$9+1-1,H11),2),Auxiliar!$D$1:$E$7,2,0))</f>
        <v/>
      </c>
      <c r="I12" s="67" t="str">
        <f>IF(I$11="","",VLOOKUP(WEEKDAY(DATE($A$7,$A$9+1-1,I11),2),Auxiliar!$D$1:$E$7,2,0))</f>
        <v/>
      </c>
      <c r="J12" s="67" t="str">
        <f>IF(J$11="","",VLOOKUP(WEEKDAY(DATE($A$7,$A$9+1-1,J11),2),Auxiliar!$D$1:$E$7,2,0))</f>
        <v/>
      </c>
      <c r="K12" s="67" t="str">
        <f>IF(K$11="","",VLOOKUP(WEEKDAY(DATE($A$7,$A$9+1-1,K11),2),Auxiliar!$D$1:$E$7,2,0))</f>
        <v/>
      </c>
      <c r="L12" s="67" t="str">
        <f>IF(L$11="","",VLOOKUP(WEEKDAY(DATE($A$7,$A$9+1-1,L11),2),Auxiliar!$D$1:$E$7,2,0))</f>
        <v/>
      </c>
      <c r="M12" s="67" t="str">
        <f>IF(M$11="","",VLOOKUP(WEEKDAY(DATE($A$7,$A$9+1-1,M11),2),Auxiliar!$D$1:$E$7,2,0))</f>
        <v/>
      </c>
      <c r="N12" s="67" t="str">
        <f>IF(N$11="","",VLOOKUP(WEEKDAY(DATE($A$7,$A$9+1-1,N11),2),Auxiliar!$D$1:$E$7,2,0))</f>
        <v/>
      </c>
      <c r="O12" s="67" t="str">
        <f>IF(O$11="","",VLOOKUP(WEEKDAY(DATE($A$7,$A$9+1-1,O11),2),Auxiliar!$D$1:$E$7,2,0))</f>
        <v/>
      </c>
      <c r="P12" s="67" t="str">
        <f>IF(P$11="","",VLOOKUP(WEEKDAY(DATE($A$7,$A$9+1-1,P11),2),Auxiliar!$D$1:$E$7,2,0))</f>
        <v/>
      </c>
      <c r="Q12" s="67" t="str">
        <f>IF(Q$11="","",VLOOKUP(WEEKDAY(DATE($A$7,$A$9+1-1,Q11),2),Auxiliar!$D$1:$E$7,2,0))</f>
        <v/>
      </c>
      <c r="R12" s="67" t="str">
        <f>IF(R$11="","",VLOOKUP(WEEKDAY(DATE($A$7,$A$9+1-1,R11),2),Auxiliar!$D$1:$E$7,2,0))</f>
        <v/>
      </c>
      <c r="S12" s="67" t="str">
        <f>IF(S$11="","",VLOOKUP(WEEKDAY(DATE($A$7,$A$9+1-1,S11),2),Auxiliar!$D$1:$E$7,2,0))</f>
        <v/>
      </c>
      <c r="T12" s="67" t="str">
        <f>IF(T$11="","",VLOOKUP(WEEKDAY(DATE($A$7,$A$9+1-1,T11),2),Auxiliar!$D$1:$E$7,2,0))</f>
        <v/>
      </c>
      <c r="U12" s="67" t="str">
        <f>IF(U$11="","",VLOOKUP(WEEKDAY(DATE($A$7,$A$9+1-1,U11),2),Auxiliar!$D$1:$E$7,2,0))</f>
        <v/>
      </c>
      <c r="V12" s="67" t="str">
        <f>IF(V$11="","",VLOOKUP(WEEKDAY(DATE($A$7,$A$9+1-1,V11),2),Auxiliar!$D$1:$E$7,2,0))</f>
        <v/>
      </c>
      <c r="W12" s="67" t="str">
        <f>IF(W$11="","",VLOOKUP(WEEKDAY(DATE($A$7,$A$9+1-1,W11),2),Auxiliar!$D$1:$E$7,2,0))</f>
        <v/>
      </c>
      <c r="X12" s="67" t="str">
        <f>IF(X$11="","",VLOOKUP(WEEKDAY(DATE($A$7,$A$9+1-1,X11),2),Auxiliar!$D$1:$E$7,2,0))</f>
        <v/>
      </c>
      <c r="Y12" s="67" t="str">
        <f>IF(Y$11="","",VLOOKUP(WEEKDAY(DATE($A$7,$A$9+1-1,Y11),2),Auxiliar!$D$1:$E$7,2,0))</f>
        <v/>
      </c>
      <c r="Z12" s="67" t="str">
        <f>IF(Z$11="","",VLOOKUP(WEEKDAY(DATE($A$7,$A$9+1-1,Z11),2),Auxiliar!$D$1:$E$7,2,0))</f>
        <v/>
      </c>
      <c r="AA12" s="67" t="str">
        <f>IF(AA$11="","",VLOOKUP(WEEKDAY(DATE($A$7,$A$9+1-1,AA11),2),Auxiliar!$D$1:$E$7,2,0))</f>
        <v/>
      </c>
      <c r="AB12" s="67" t="str">
        <f>IF(AB$11="","",VLOOKUP(WEEKDAY(DATE($A$7,$A$9+1-1,AB11),2),Auxiliar!$D$1:$E$7,2,0))</f>
        <v/>
      </c>
      <c r="AC12" s="67" t="str">
        <f>IF(AC$11="","",VLOOKUP(WEEKDAY(DATE($A$7,$A$9+1-1,AC11),2),Auxiliar!$D$1:$E$7,2,0))</f>
        <v/>
      </c>
      <c r="AD12" s="67" t="str">
        <f>IF(AD$11="","",VLOOKUP(WEEKDAY(DATE($A$7,$A$9+1-1,AD11),2),Auxiliar!$D$1:$E$7,2,0))</f>
        <v/>
      </c>
      <c r="AE12" s="67" t="str">
        <f>IF(AE$11="","",VLOOKUP(WEEKDAY(DATE($A$7,$A$9+1-1,AE11),2),Auxiliar!$D$1:$E$7,2,0))</f>
        <v/>
      </c>
      <c r="AF12" s="67" t="str">
        <f>IF(AF$11="","",VLOOKUP(WEEKDAY(DATE($A$7,$A$9+1-1,AF11),2),Auxiliar!$D$1:$E$7,2,0))</f>
        <v/>
      </c>
      <c r="AG12" s="67" t="str">
        <f>IF(AG$11="","",VLOOKUP(WEEKDAY(DATE($A$7,$A$9+1-1,AG11),2),Auxiliar!$D$1:$E$7,2,0))</f>
        <v/>
      </c>
      <c r="AH12" s="67" t="str">
        <f>IF(AH$11="","",VLOOKUP(WEEKDAY(DATE($A$7,$A$9+1-1,AH11),2),Auxiliar!$D$1:$E$7,2,0))</f>
        <v/>
      </c>
      <c r="AI12" s="67" t="str">
        <f>IF(AI$11="","",VLOOKUP(WEEKDAY(DATE($A$7,$A$9+1-1,AI11),2),Auxiliar!$D$1:$E$7,2,0))</f>
        <v/>
      </c>
      <c r="AJ12" s="67" t="str">
        <f>IF(AJ$11="","",VLOOKUP(WEEKDAY(DATE($A$7,$A$9+1-1,AJ11),2),Auxiliar!$D$1:$E$7,2,0))</f>
        <v/>
      </c>
      <c r="AK12" s="67" t="str">
        <f>IF(AK$11="","",VLOOKUP(WEEKDAY(DATE($A$7,$A$9+1-1,AK11),2),Auxiliar!$D$1:$E$7,2,0))</f>
        <v/>
      </c>
      <c r="AL12" s="67" t="str">
        <f>IF(AL$11="","",VLOOKUP(WEEKDAY(DATE($A$7,$A$9+1-1,AL11),2),Auxiliar!$D$1:$E$7,2,0))</f>
        <v/>
      </c>
      <c r="AM12" s="67" t="str">
        <f>IF(AM$11="","",VLOOKUP(WEEKDAY(DATE($A$7,$A$9+1-1,AM11),2),Auxiliar!$D$1:$E$7,2,0))</f>
        <v/>
      </c>
      <c r="AN12" s="67" t="str">
        <f>IF(AN$11="","",VLOOKUP(WEEKDAY(DATE($A$7,$A$9+1-1,AN11),2),Auxiliar!$D$1:$E$7,2,0))</f>
        <v/>
      </c>
      <c r="AO12" s="67" t="str">
        <f>IF(AO$11="","",VLOOKUP(WEEKDAY(DATE($A$7,$A$9+1-1,AO11),2),Auxiliar!$D$1:$E$7,2,0))</f>
        <v/>
      </c>
      <c r="AP12" s="67" t="str">
        <f>IF(AP$11="","",VLOOKUP(WEEKDAY(DATE($A$7,$A$9+1-1,AP11),2),Auxiliar!$D$1:$E$7,2,0))</f>
        <v/>
      </c>
      <c r="AQ12" s="67" t="str">
        <f>IF(AQ$11="","",VLOOKUP(WEEKDAY(DATE($A$7,$A$9+1-1,AQ11),2),Auxiliar!$D$1:$E$7,2,0))</f>
        <v/>
      </c>
      <c r="AR12" s="67" t="str">
        <f>IF(AR$11="","",VLOOKUP(WEEKDAY(DATE($A$7,$A$9+1-1,AR11),2),Auxiliar!$D$1:$E$7,2,0))</f>
        <v/>
      </c>
      <c r="AS12" s="67" t="str">
        <f>IF(AS$11="","",VLOOKUP(WEEKDAY(DATE($A$7,$A$9+1-1,AS11),2),Auxiliar!$D$1:$E$7,2,0))</f>
        <v/>
      </c>
      <c r="AT12" s="67" t="str">
        <f>IF(AT$11="","",VLOOKUP(WEEKDAY(DATE($A$7,$A$9+1-1,AT11),2),Auxiliar!$D$1:$E$7,2,0))</f>
        <v/>
      </c>
      <c r="AU12" s="67" t="str">
        <f>IF(AU$11="","",VLOOKUP(WEEKDAY(DATE($A$7,$A$9+1-1,AU11),2),Auxiliar!$D$1:$E$7,2,0))</f>
        <v/>
      </c>
      <c r="AV12" s="67" t="str">
        <f>IF(AV$11="","",VLOOKUP(WEEKDAY(DATE($A$7,$A$9+1-1,AV11),2),Auxiliar!$D$1:$E$7,2,0))</f>
        <v/>
      </c>
      <c r="AW12" s="67" t="str">
        <f>IF(AW$11="","",VLOOKUP(WEEKDAY(DATE($A$7,$A$9+1-1,AW11),2),Auxiliar!$D$1:$E$7,2,0))</f>
        <v/>
      </c>
      <c r="AX12" s="67" t="str">
        <f>IF(AX$11="","",VLOOKUP(WEEKDAY(DATE($A$7,$A$9+1-1,AX11),2),Auxiliar!$D$1:$E$7,2,0))</f>
        <v/>
      </c>
      <c r="AY12" s="67" t="str">
        <f>IF(AY$11="","",VLOOKUP(WEEKDAY(DATE($A$7,$A$9+1-1,AY11),2),Auxiliar!$D$1:$E$7,2,0))</f>
        <v/>
      </c>
      <c r="AZ12" s="67" t="str">
        <f>IF(AZ$11="","",VLOOKUP(WEEKDAY(DATE($A$7,$A$9+1-1,AZ11),2),Auxiliar!$D$1:$E$7,2,0))</f>
        <v/>
      </c>
      <c r="BA12" s="67" t="str">
        <f>IF(BA$11="","",VLOOKUP(WEEKDAY(DATE($A$7,$A$9+1-1,BA11),2),Auxiliar!$D$1:$E$7,2,0))</f>
        <v/>
      </c>
      <c r="BB12" s="67" t="str">
        <f>IF(BB$11="","",VLOOKUP(WEEKDAY(DATE($A$7,$A$9+1-1,BB11),2),Auxiliar!$D$1:$E$7,2,0))</f>
        <v/>
      </c>
      <c r="BC12" s="67" t="str">
        <f>IF(BC$11="","",VLOOKUP(WEEKDAY(DATE($A$7,$A$9+1-1,BC11),2),Auxiliar!$D$1:$E$7,2,0))</f>
        <v/>
      </c>
      <c r="BD12" s="67" t="str">
        <f>IF(BD$11="","",VLOOKUP(WEEKDAY(DATE($A$7,$A$9+1-1,BD11),2),Auxiliar!$D$1:$E$7,2,0))</f>
        <v/>
      </c>
      <c r="BE12" s="67" t="str">
        <f>IF(BE$11="","",VLOOKUP(WEEKDAY(DATE($A$7,$A$9+1-1,BE11),2),Auxiliar!$D$1:$E$7,2,0))</f>
        <v/>
      </c>
      <c r="BF12" s="67" t="str">
        <f>IF(BF$11="","",VLOOKUP(WEEKDAY(DATE($A$7,$A$9+1-1,BF11),2),Auxiliar!$D$1:$E$7,2,0))</f>
        <v/>
      </c>
      <c r="BG12" s="67" t="str">
        <f>IF(BG$11="","",VLOOKUP(WEEKDAY(DATE($A$7,$A$9+1-1,BG11),2),Auxiliar!$D$1:$E$7,2,0))</f>
        <v/>
      </c>
      <c r="BH12" s="67" t="str">
        <f>IF(BH$11="","",VLOOKUP(WEEKDAY(DATE($A$7,$A$9+1-1,BH11),2),Auxiliar!$D$1:$E$7,2,0))</f>
        <v/>
      </c>
      <c r="BI12" s="67" t="str">
        <f>IF(BI$11="","",VLOOKUP(WEEKDAY(DATE($A$7,$A$9+1-1,BI11),2),Auxiliar!$D$1:$E$7,2,0))</f>
        <v/>
      </c>
      <c r="BJ12" s="67" t="str">
        <f>IF(BJ$11="","",VLOOKUP(WEEKDAY(DATE($A$7,$A$9+1-1,BJ11),2),Auxiliar!$D$1:$E$7,2,0))</f>
        <v/>
      </c>
      <c r="BK12" s="67" t="str">
        <f>IF(BK$11="","",VLOOKUP(WEEKDAY(DATE($A$7,$A$9+1-1,BK11),2),Auxiliar!$D$1:$E$7,2,0))</f>
        <v/>
      </c>
      <c r="BL12" s="67" t="str">
        <f>IF(BL$11="","",VLOOKUP(WEEKDAY(DATE($A$7,$A$9+1-1,BL11),2),Auxiliar!$D$1:$E$7,2,0))</f>
        <v/>
      </c>
      <c r="BM12" s="67" t="str">
        <f>IF(BM$11="","",VLOOKUP(WEEKDAY(DATE($A$7,$A$9+1-1,BM11),2),Auxiliar!$D$1:$E$7,2,0))</f>
        <v/>
      </c>
      <c r="BN12" s="67" t="str">
        <f>IF(BN$11="","",VLOOKUP(WEEKDAY(DATE($A$7,$A$9+1-1,BN11),2),Auxiliar!$D$1:$E$7,2,0))</f>
        <v/>
      </c>
      <c r="BO12" s="67" t="str">
        <f>IF(BO$11="","",VLOOKUP(WEEKDAY(DATE($A$7,$A$9+1-1,BO11),2),Auxiliar!$D$1:$E$7,2,0))</f>
        <v/>
      </c>
      <c r="BP12" s="67" t="str">
        <f>IF(BP$11="","",VLOOKUP(WEEKDAY(DATE($A$7,$A$9+1-1,BP11),2),Auxiliar!$D$1:$E$7,2,0))</f>
        <v/>
      </c>
      <c r="BQ12" s="67" t="str">
        <f>IF(BQ$11="","",VLOOKUP(WEEKDAY(DATE($A$7,$A$9+1-1,BQ11),2),Auxiliar!$D$1:$E$7,2,0))</f>
        <v/>
      </c>
      <c r="BR12" s="67" t="str">
        <f>IF(BR$11="","",VLOOKUP(WEEKDAY(DATE($A$7,$A$9+1-1,BR11),2),Auxiliar!$D$1:$E$7,2,0))</f>
        <v/>
      </c>
      <c r="BS12" s="67" t="str">
        <f>IF(BS$11="","",VLOOKUP(WEEKDAY(DATE($A$7,$A$9+1-1,BS11),2),Auxiliar!$D$1:$E$7,2,0))</f>
        <v/>
      </c>
      <c r="BT12" s="67" t="str">
        <f>IF(BT$11="","",VLOOKUP(WEEKDAY(DATE($A$7,$A$9+1-1,BT11),2),Auxiliar!$D$1:$E$7,2,0))</f>
        <v/>
      </c>
      <c r="BU12" s="67" t="str">
        <f>IF(BU$11="","",VLOOKUP(WEEKDAY(DATE($A$7,$A$9+1-1,BU11),2),Auxiliar!$D$1:$E$7,2,0))</f>
        <v/>
      </c>
      <c r="BV12" s="67" t="str">
        <f>IF(BV$11="","",VLOOKUP(WEEKDAY(DATE($A$7,$A$9+1-1,BV11),2),Auxiliar!$D$1:$E$7,2,0))</f>
        <v/>
      </c>
      <c r="BW12" s="67" t="str">
        <f>IF(BW$11="","",VLOOKUP(WEEKDAY(DATE($A$7,$A$9+1-1,BW11),2),Auxiliar!$D$1:$E$7,2,0))</f>
        <v/>
      </c>
      <c r="BX12" s="67" t="str">
        <f>IF(BX$11="","",VLOOKUP(WEEKDAY(DATE($A$7,$A$9+1-1,BX11),2),Auxiliar!$D$1:$E$7,2,0))</f>
        <v/>
      </c>
      <c r="BY12" s="67" t="str">
        <f>IF(BY$11="","",VLOOKUP(WEEKDAY(DATE($A$7,$A$9+1-1,BY11),2),Auxiliar!$D$1:$E$7,2,0))</f>
        <v/>
      </c>
      <c r="BZ12" s="67" t="str">
        <f>IF(BZ$11="","",VLOOKUP(WEEKDAY(DATE($A$7,$A$9+1-1,BZ11),2),Auxiliar!$D$1:$E$7,2,0))</f>
        <v/>
      </c>
      <c r="CA12" s="67" t="str">
        <f>IF(CA$11="","",VLOOKUP(WEEKDAY(DATE($A$7,$A$9+1-1,CA11),2),Auxiliar!$D$1:$E$7,2,0))</f>
        <v/>
      </c>
      <c r="CB12" s="67" t="str">
        <f>IF(CB$11="","",VLOOKUP(WEEKDAY(DATE($A$7,$A$9+1-1,CB11),2),Auxiliar!$D$1:$E$7,2,0))</f>
        <v/>
      </c>
      <c r="CC12" s="67" t="str">
        <f>IF(CC$11="","",VLOOKUP(WEEKDAY(DATE($A$7,$A$9+1-1,CC11),2),Auxiliar!$D$1:$E$7,2,0))</f>
        <v/>
      </c>
      <c r="CD12" s="67" t="str">
        <f>IF(CD$11="","",VLOOKUP(WEEKDAY(DATE($A$7,$A$9+1-1,CD11),2),Auxiliar!$D$1:$E$7,2,0))</f>
        <v/>
      </c>
      <c r="CE12" s="67" t="str">
        <f>IF(CE$11="","",VLOOKUP(WEEKDAY(DATE($A$7,$A$9+1-1,CE11),2),Auxiliar!$D$1:$E$7,2,0))</f>
        <v/>
      </c>
      <c r="CF12" s="67" t="str">
        <f>IF(CF$11="","",VLOOKUP(WEEKDAY(DATE($A$7,$A$9+1-1,CF11),2),Auxiliar!$D$1:$E$7,2,0))</f>
        <v/>
      </c>
      <c r="CG12" s="67" t="str">
        <f>IF(CG$11="","",VLOOKUP(WEEKDAY(DATE($A$7,$A$9+1-1,CG11),2),Auxiliar!$D$1:$E$7,2,0))</f>
        <v/>
      </c>
      <c r="CH12" s="67" t="str">
        <f>IF(CH$11="","",VLOOKUP(WEEKDAY(DATE($A$7,$A$9+1-1,CH11),2),Auxiliar!$D$1:$E$7,2,0))</f>
        <v/>
      </c>
      <c r="CI12" s="67" t="str">
        <f>IF(CI$11="","",VLOOKUP(WEEKDAY(DATE($A$7,$A$9+1-1,CI11),2),Auxiliar!$D$1:$E$7,2,0))</f>
        <v/>
      </c>
      <c r="CJ12" s="67" t="str">
        <f>IF(CJ$11="","",VLOOKUP(WEEKDAY(DATE($A$7,$A$9+1-1,CJ11),2),Auxiliar!$D$1:$E$7,2,0))</f>
        <v/>
      </c>
      <c r="CK12" s="67" t="str">
        <f>IF(CK$11="","",VLOOKUP(WEEKDAY(DATE($A$7,$A$9+1-1,CK11),2),Auxiliar!$D$1:$E$7,2,0))</f>
        <v/>
      </c>
      <c r="CL12" s="67" t="str">
        <f>IF(CL$11="","",VLOOKUP(WEEKDAY(DATE($A$7,$A$9+1-1,CL11),2),Auxiliar!$D$1:$E$7,2,0))</f>
        <v/>
      </c>
      <c r="CM12" s="67" t="str">
        <f>IF(CM$11="","",VLOOKUP(WEEKDAY(DATE($A$7,$A$9+1-1,CM11),2),Auxiliar!$D$1:$E$7,2,0))</f>
        <v/>
      </c>
      <c r="CN12" s="67" t="str">
        <f>IF(CN$11="","",VLOOKUP(WEEKDAY(DATE($A$7,$A$9+1-1,CN11),2),Auxiliar!$D$1:$E$7,2,0))</f>
        <v/>
      </c>
      <c r="CO12" s="67" t="str">
        <f>IF(CO$11="","",VLOOKUP(WEEKDAY(DATE($A$7,$A$9+1-1,CO11),2),Auxiliar!$D$1:$E$7,2,0))</f>
        <v/>
      </c>
      <c r="CP12" s="67" t="str">
        <f>IF(CP$11="","",VLOOKUP(WEEKDAY(DATE($A$7,$A$9+1-1,CP11),2),Auxiliar!$D$1:$E$7,2,0))</f>
        <v/>
      </c>
      <c r="CQ12" s="67" t="str">
        <f>IF(CQ$11="","",VLOOKUP(WEEKDAY(DATE($A$7,$A$9+1-1,CQ11),2),Auxiliar!$D$1:$E$7,2,0))</f>
        <v/>
      </c>
      <c r="CR12" s="67" t="str">
        <f>IF(CR$11="","",VLOOKUP(WEEKDAY(DATE($A$7,$A$9+1-1,CR11),2),Auxiliar!$D$1:$E$7,2,0))</f>
        <v/>
      </c>
      <c r="CS12" s="67" t="str">
        <f>IF(CS$11="","",VLOOKUP(WEEKDAY(DATE($A$7,$A$9+1-1,CS11),2),Auxiliar!$D$1:$E$7,2,0))</f>
        <v/>
      </c>
      <c r="CT12" s="67" t="str">
        <f>IF(CT$11="","",VLOOKUP(WEEKDAY(DATE($A$7,$A$9+1-1,CT11),2),Auxiliar!$D$1:$E$7,2,0))</f>
        <v/>
      </c>
      <c r="CU12" s="67" t="str">
        <f>IF(CU$11="","",VLOOKUP(WEEKDAY(DATE($A$7,$A$9+1-1,CU11),2),Auxiliar!$D$1:$E$7,2,0))</f>
        <v/>
      </c>
      <c r="CV12" s="67" t="str">
        <f>IF(CV$11="","",VLOOKUP(WEEKDAY(DATE($A$7,$A$9+1-1,CV11),2),Auxiliar!$D$1:$E$7,2,0))</f>
        <v/>
      </c>
      <c r="CW12" s="67" t="str">
        <f>IF(CW$11="","",VLOOKUP(WEEKDAY(DATE($A$7,$A$9+1-1,CW11),2),Auxiliar!$D$1:$E$7,2,0))</f>
        <v/>
      </c>
      <c r="CX12" s="67" t="str">
        <f>IF(CX$11="","",VLOOKUP(WEEKDAY(DATE($A$7,$A$9+1-1,CX11),2),Auxiliar!$D$1:$E$7,2,0))</f>
        <v/>
      </c>
      <c r="CY12" s="67" t="str">
        <f>IF(CY$11="","",VLOOKUP(WEEKDAY(DATE($A$7,$A$9+1-1,CY11),2),Auxiliar!$D$1:$E$7,2,0))</f>
        <v/>
      </c>
      <c r="CZ12" s="67" t="str">
        <f>IF(CZ$11="","",VLOOKUP(WEEKDAY(DATE($A$7,$A$9+1-1,CZ11),2),Auxiliar!$D$1:$E$7,2,0))</f>
        <v/>
      </c>
      <c r="DA12" s="67" t="str">
        <f>IF(DA$11="","",VLOOKUP(WEEKDAY(DATE($A$7,$A$9+1-1,DA11),2),Auxiliar!$D$1:$E$7,2,0))</f>
        <v/>
      </c>
      <c r="DB12" s="67" t="str">
        <f>IF(DB$11="","",VLOOKUP(WEEKDAY(DATE($A$7,$A$9+1-1,DB11),2),Auxiliar!$D$1:$E$7,2,0))</f>
        <v/>
      </c>
      <c r="DC12" s="67" t="str">
        <f>IF(DC$11="","",VLOOKUP(WEEKDAY(DATE($A$7,$A$9+1-1,DC11),2),Auxiliar!$D$1:$E$7,2,0))</f>
        <v/>
      </c>
      <c r="DD12" s="67" t="str">
        <f>IF(DD$11="","",VLOOKUP(WEEKDAY(DATE($A$7,$A$9+1-1,DD11),2),Auxiliar!$D$1:$E$7,2,0))</f>
        <v/>
      </c>
      <c r="DE12" s="67" t="str">
        <f>IF(DE$11="","",VLOOKUP(WEEKDAY(DATE($A$7,$A$9+1-1,DE11),2),Auxiliar!$D$1:$E$7,2,0))</f>
        <v/>
      </c>
      <c r="DF12" s="67" t="str">
        <f>IF(DF$11="","",VLOOKUP(WEEKDAY(DATE($A$7,$A$9+1-1,DF11),2),Auxiliar!$D$1:$E$7,2,0))</f>
        <v/>
      </c>
      <c r="DG12" s="67" t="str">
        <f>IF(DG$11="","",VLOOKUP(WEEKDAY(DATE($A$7,$A$9+1-1,DG11),2),Auxiliar!$D$1:$E$7,2,0))</f>
        <v/>
      </c>
      <c r="DH12" s="67" t="str">
        <f>IF(DH$11="","",VLOOKUP(WEEKDAY(DATE($A$7,$A$9+1-1,DH11),2),Auxiliar!$D$1:$E$7,2,0))</f>
        <v/>
      </c>
      <c r="DI12" s="67" t="str">
        <f>IF(DI$11="","",VLOOKUP(WEEKDAY(DATE($A$7,$A$9+1-1,DI11),2),Auxiliar!$D$1:$E$7,2,0))</f>
        <v/>
      </c>
      <c r="DJ12" s="67" t="str">
        <f>IF(DJ$11="","",VLOOKUP(WEEKDAY(DATE($A$7,$A$9+1-1,DJ11),2),Auxiliar!$D$1:$E$7,2,0))</f>
        <v/>
      </c>
      <c r="DK12" s="67" t="str">
        <f>IF(DK$11="","",VLOOKUP(WEEKDAY(DATE($A$7,$A$9+1-1,DK11),2),Auxiliar!$D$1:$E$7,2,0))</f>
        <v/>
      </c>
      <c r="DL12" s="67" t="str">
        <f>IF(DL$11="","",VLOOKUP(WEEKDAY(DATE($A$7,$A$9+1-1,DL11),2),Auxiliar!$D$1:$E$7,2,0))</f>
        <v/>
      </c>
      <c r="DM12" s="67" t="str">
        <f>IF(DM$11="","",VLOOKUP(WEEKDAY(DATE($A$7,$A$9+1-1,DM11),2),Auxiliar!$D$1:$E$7,2,0))</f>
        <v/>
      </c>
      <c r="DN12" s="67" t="str">
        <f>IF(DN$11="","",VLOOKUP(WEEKDAY(DATE($A$7,$A$9+1-1,DN11),2),Auxiliar!$D$1:$E$7,2,0))</f>
        <v/>
      </c>
      <c r="DO12" s="67" t="str">
        <f>IF(DO$11="","",VLOOKUP(WEEKDAY(DATE($A$7,$A$9+1-1,DO11),2),Auxiliar!$D$1:$E$7,2,0))</f>
        <v/>
      </c>
      <c r="DP12" s="67" t="str">
        <f>IF(DP$11="","",VLOOKUP(WEEKDAY(DATE($A$7,$A$9+1-1,DP11),2),Auxiliar!$D$1:$E$7,2,0))</f>
        <v/>
      </c>
      <c r="DQ12" s="67" t="str">
        <f>IF(DQ$11="","",VLOOKUP(WEEKDAY(DATE($A$7,$A$9+1-1,DQ11),2),Auxiliar!$D$1:$E$7,2,0))</f>
        <v/>
      </c>
      <c r="DR12" s="67" t="str">
        <f>IF(DR$11="","",VLOOKUP(WEEKDAY(DATE($A$7,$A$9+1-1,DR11),2),Auxiliar!$D$1:$E$7,2,0))</f>
        <v/>
      </c>
      <c r="DS12" s="67" t="str">
        <f>IF(DS$11="","",VLOOKUP(WEEKDAY(DATE($A$7,$A$9+1-1,DS11),2),Auxiliar!$D$1:$E$7,2,0))</f>
        <v/>
      </c>
      <c r="DT12" s="67" t="str">
        <f>IF(DT$11="","",VLOOKUP(WEEKDAY(DATE($A$7,$A$9+1-1,DT11),2),Auxiliar!$D$1:$E$7,2,0))</f>
        <v/>
      </c>
      <c r="DU12" s="67" t="str">
        <f>IF(DU$11="","",VLOOKUP(WEEKDAY(DATE($A$7,$A$9+1-1,DU11),2),Auxiliar!$D$1:$E$7,2,0))</f>
        <v/>
      </c>
      <c r="DV12" s="67" t="str">
        <f>IF(DV$11="","",VLOOKUP(WEEKDAY(DATE($A$7,$A$9+1-1,DV11),2),Auxiliar!$D$1:$E$7,2,0))</f>
        <v/>
      </c>
      <c r="DW12" s="67" t="str">
        <f>IF(DW$11="","",VLOOKUP(WEEKDAY(DATE($A$7,$A$9+1-1,DW11),2),Auxiliar!$D$1:$E$7,2,0))</f>
        <v/>
      </c>
      <c r="DX12" s="67" t="str">
        <f>IF(DX$11="","",VLOOKUP(WEEKDAY(DATE($A$7,$A$9+1-1,DX11),2),Auxiliar!$D$1:$E$7,2,0))</f>
        <v/>
      </c>
      <c r="DY12" s="67" t="str">
        <f>IF(DY$11="","",VLOOKUP(WEEKDAY(DATE($A$7,$A$9+1-1,DY11),2),Auxiliar!$D$1:$E$7,2,0))</f>
        <v/>
      </c>
      <c r="DZ12" s="67" t="str">
        <f>IF(DZ$11="","",VLOOKUP(WEEKDAY(DATE($A$7,$A$9+1-1,DZ11),2),Auxiliar!$D$1:$E$7,2,0))</f>
        <v/>
      </c>
      <c r="EA12" s="67" t="str">
        <f>IF(EA$11="","",VLOOKUP(WEEKDAY(DATE($A$7,$A$9+1-1,EA11),2),Auxiliar!$D$1:$E$7,2,0))</f>
        <v/>
      </c>
      <c r="EB12" s="67" t="str">
        <f>IF(EB$11="","",VLOOKUP(WEEKDAY(DATE($A$7,$A$9+1-1,EB11),2),Auxiliar!$D$1:$E$7,2,0))</f>
        <v/>
      </c>
      <c r="EC12" s="67" t="str">
        <f>IF(EC$11="","",VLOOKUP(WEEKDAY(DATE($A$7,$A$9+1-1,EC11),2),Auxiliar!$D$1:$E$7,2,0))</f>
        <v/>
      </c>
      <c r="ED12" s="67" t="str">
        <f>IF(ED$11="","",VLOOKUP(WEEKDAY(DATE($A$7,$A$9+1-1,ED11),2),Auxiliar!$D$1:$E$7,2,0))</f>
        <v/>
      </c>
      <c r="EE12" s="67" t="str">
        <f>IF(EE$11="","",VLOOKUP(WEEKDAY(DATE($A$7,$A$9+1-1,EE11),2),Auxiliar!$D$1:$E$7,2,0))</f>
        <v/>
      </c>
      <c r="EF12" s="67" t="str">
        <f>IF(EF$11="","",VLOOKUP(WEEKDAY(DATE($A$7,$A$9+1-1,EF11),2),Auxiliar!$D$1:$E$7,2,0))</f>
        <v/>
      </c>
      <c r="EG12" s="67" t="str">
        <f>IF(EG$11="","",VLOOKUP(WEEKDAY(DATE($A$7,$A$9+1-1,EG11),2),Auxiliar!$D$1:$E$7,2,0))</f>
        <v/>
      </c>
      <c r="EH12" s="67" t="str">
        <f>IF(EH$11="","",VLOOKUP(WEEKDAY(DATE($A$7,$A$9+1-1,EH11),2),Auxiliar!$D$1:$E$7,2,0))</f>
        <v/>
      </c>
      <c r="EI12" s="67" t="str">
        <f>IF(EI$11="","",VLOOKUP(WEEKDAY(DATE($A$7,$A$9+1-1,EI11),2),Auxiliar!$D$1:$E$7,2,0))</f>
        <v/>
      </c>
      <c r="EJ12" s="67" t="str">
        <f>IF(EJ$11="","",VLOOKUP(WEEKDAY(DATE($A$7,$A$9+1-1,EJ11),2),Auxiliar!$D$1:$E$7,2,0))</f>
        <v/>
      </c>
      <c r="EK12" s="67" t="str">
        <f>IF(EK$11="","",VLOOKUP(WEEKDAY(DATE($A$7,$A$9+1-1,EK11),2),Auxiliar!$D$1:$E$7,2,0))</f>
        <v/>
      </c>
      <c r="EL12" s="67" t="str">
        <f>IF(EL$11="","",VLOOKUP(WEEKDAY(DATE($A$7,$A$9+1-1,EL11),2),Auxiliar!$D$1:$E$7,2,0))</f>
        <v/>
      </c>
      <c r="EM12" s="67" t="str">
        <f>IF(EM$11="","",VLOOKUP(WEEKDAY(DATE($A$7,$A$9+1-1,EM11),2),Auxiliar!$D$1:$E$7,2,0))</f>
        <v/>
      </c>
      <c r="EN12" s="67" t="str">
        <f>IF(EN$11="","",VLOOKUP(WEEKDAY(DATE($A$7,$A$9+1-1,EN11),2),Auxiliar!$D$1:$E$7,2,0))</f>
        <v/>
      </c>
      <c r="EO12" s="67" t="str">
        <f>IF(EO$11="","",VLOOKUP(WEEKDAY(DATE($A$7,$A$9+1-1,EO11),2),Auxiliar!$D$1:$E$7,2,0))</f>
        <v/>
      </c>
      <c r="EP12" s="67" t="str">
        <f>IF(EP$11="","",VLOOKUP(WEEKDAY(DATE($A$7,$A$9+1-1,EP11),2),Auxiliar!$D$1:$E$7,2,0))</f>
        <v/>
      </c>
      <c r="EQ12" s="67" t="str">
        <f>IF(EQ$11="","",VLOOKUP(WEEKDAY(DATE($A$7,$A$9+1-1,EQ11),2),Auxiliar!$D$1:$E$7,2,0))</f>
        <v/>
      </c>
      <c r="ER12" s="67" t="str">
        <f>IF(ER$11="","",VLOOKUP(WEEKDAY(DATE($A$7,$A$9+1-1,ER11),2),Auxiliar!$D$1:$E$7,2,0))</f>
        <v/>
      </c>
      <c r="ES12" s="67" t="str">
        <f>IF(ES$11="","",VLOOKUP(WEEKDAY(DATE($A$7,$A$9+1-1,ES11),2),Auxiliar!$D$1:$E$7,2,0))</f>
        <v/>
      </c>
      <c r="ET12" s="67" t="str">
        <f>IF(ET$11="","",VLOOKUP(WEEKDAY(DATE($A$7,$A$9+1-1,ET11),2),Auxiliar!$D$1:$E$7,2,0))</f>
        <v/>
      </c>
      <c r="EU12" s="67" t="str">
        <f>IF(EU$11="","",VLOOKUP(WEEKDAY(DATE($A$7,$A$9+1-1,EU11),2),Auxiliar!$D$1:$E$7,2,0))</f>
        <v/>
      </c>
      <c r="EV12" s="67" t="str">
        <f>IF(EV$11="","",VLOOKUP(WEEKDAY(DATE($A$7,$A$9+1-1,EV11),2),Auxiliar!$D$1:$E$7,2,0))</f>
        <v/>
      </c>
      <c r="EW12" s="67" t="str">
        <f>IF(EW$11="","",VLOOKUP(WEEKDAY(DATE($A$7,$A$9+1-1,EW11),2),Auxiliar!$D$1:$E$7,2,0))</f>
        <v/>
      </c>
      <c r="EX12" s="67" t="str">
        <f>IF(EX$11="","",VLOOKUP(WEEKDAY(DATE($A$7,$A$9+1-1,EX11),2),Auxiliar!$D$1:$E$7,2,0))</f>
        <v/>
      </c>
      <c r="EY12" s="67" t="str">
        <f>IF(EY$11="","",VLOOKUP(WEEKDAY(DATE($A$7,$A$9+1-1,EY11),2),Auxiliar!$D$1:$E$7,2,0))</f>
        <v/>
      </c>
      <c r="EZ12" s="67" t="str">
        <f>IF(EZ$11="","",VLOOKUP(WEEKDAY(DATE($A$7,$A$9+1-1,EZ11),2),Auxiliar!$D$1:$E$7,2,0))</f>
        <v/>
      </c>
      <c r="FA12" s="67" t="str">
        <f>IF(FA$11="","",VLOOKUP(WEEKDAY(DATE($A$7,$A$9+1-1,FA11),2),Auxiliar!$D$1:$E$7,2,0))</f>
        <v/>
      </c>
      <c r="FB12" s="67" t="str">
        <f>IF(FB$11="","",VLOOKUP(WEEKDAY(DATE($A$7,$A$9+1-1,FB11),2),Auxiliar!$D$1:$E$7,2,0))</f>
        <v/>
      </c>
      <c r="FC12" s="67" t="str">
        <f>IF(FC$11="","",VLOOKUP(WEEKDAY(DATE($A$7,$A$9+1-1,FC11),2),Auxiliar!$D$1:$E$7,2,0))</f>
        <v/>
      </c>
      <c r="FD12" s="67" t="str">
        <f>IF(FD$11="","",VLOOKUP(WEEKDAY(DATE($A$7,$A$9+1-1,FD11),2),Auxiliar!$D$1:$E$7,2,0))</f>
        <v/>
      </c>
      <c r="FE12" s="67" t="str">
        <f>IF(FE$11="","",VLOOKUP(WEEKDAY(DATE($A$7,$A$9+1-1,FE11),2),Auxiliar!$D$1:$E$7,2,0))</f>
        <v/>
      </c>
      <c r="FF12" s="67" t="str">
        <f>IF(FF$11="","",VLOOKUP(WEEKDAY(DATE($A$7,$A$9+1-1,FF11),2),Auxiliar!$D$1:$E$7,2,0))</f>
        <v/>
      </c>
      <c r="FG12" s="67" t="str">
        <f>IF(FG$11="","",VLOOKUP(WEEKDAY(DATE($A$7,$A$9+1-1,FG11),2),Auxiliar!$D$1:$E$7,2,0))</f>
        <v/>
      </c>
      <c r="FH12" s="67" t="str">
        <f>IF(FH$11="","",VLOOKUP(WEEKDAY(DATE($A$7,$A$9+1-1,FH11),2),Auxiliar!$D$1:$E$7,2,0))</f>
        <v/>
      </c>
      <c r="FI12" s="67" t="str">
        <f>IF(FI$11="","",VLOOKUP(WEEKDAY(DATE($A$7,$A$9+1-1,FI11),2),Auxiliar!$D$1:$E$7,2,0))</f>
        <v/>
      </c>
      <c r="FJ12" s="67" t="str">
        <f>IF(FJ$11="","",VLOOKUP(WEEKDAY(DATE($A$7,$A$9+1-1,FJ11),2),Auxiliar!$D$1:$E$7,2,0))</f>
        <v/>
      </c>
      <c r="FK12" s="67" t="str">
        <f>IF(FK$11="","",VLOOKUP(WEEKDAY(DATE($A$7,$A$9+1-1,FK11),2),Auxiliar!$D$1:$E$7,2,0))</f>
        <v/>
      </c>
      <c r="FL12" s="67" t="str">
        <f>IF(FL$11="","",VLOOKUP(WEEKDAY(DATE($A$7,$A$9+1-1,FL11),2),Auxiliar!$D$1:$E$7,2,0))</f>
        <v/>
      </c>
      <c r="FM12" s="67" t="str">
        <f>IF(FM$11="","",VLOOKUP(WEEKDAY(DATE($A$7,$A$9+1-1,FM11),2),Auxiliar!$D$1:$E$7,2,0))</f>
        <v/>
      </c>
      <c r="FN12" s="67" t="str">
        <f>IF(FN$11="","",VLOOKUP(WEEKDAY(DATE($A$7,$A$9+1-1,FN11),2),Auxiliar!$D$1:$E$7,2,0))</f>
        <v/>
      </c>
      <c r="FO12" s="67" t="str">
        <f>IF(FO$11="","",VLOOKUP(WEEKDAY(DATE($A$7,$A$9+1-1,FO11),2),Auxiliar!$D$1:$E$7,2,0))</f>
        <v/>
      </c>
      <c r="FP12" s="67" t="str">
        <f>IF(FP$11="","",VLOOKUP(WEEKDAY(DATE($A$7,$A$9+1-1,FP11),2),Auxiliar!$D$1:$E$7,2,0))</f>
        <v/>
      </c>
      <c r="FQ12" s="67" t="str">
        <f>IF(FQ$11="","",VLOOKUP(WEEKDAY(DATE($A$7,$A$9+1-1,FQ11),2),Auxiliar!$D$1:$E$7,2,0))</f>
        <v/>
      </c>
      <c r="FR12" s="67" t="str">
        <f>IF(FR$11="","",VLOOKUP(WEEKDAY(DATE($A$7,$A$9+1-1,FR11),2),Auxiliar!$D$1:$E$7,2,0))</f>
        <v/>
      </c>
      <c r="FS12" s="67" t="str">
        <f>IF(FS$11="","",VLOOKUP(WEEKDAY(DATE($A$7,$A$9+1-1,FS11),2),Auxiliar!$D$1:$E$7,2,0))</f>
        <v/>
      </c>
      <c r="FT12" s="67" t="str">
        <f>IF(FT$11="","",VLOOKUP(WEEKDAY(DATE($A$7,$A$9+1-1,FT11),2),Auxiliar!$D$1:$E$7,2,0))</f>
        <v/>
      </c>
      <c r="FU12" s="67" t="str">
        <f>IF(FU$11="","",VLOOKUP(WEEKDAY(DATE($A$7,$A$9+1-1,FU11),2),Auxiliar!$D$1:$E$7,2,0))</f>
        <v/>
      </c>
      <c r="FV12" s="67" t="str">
        <f>IF(FV$11="","",VLOOKUP(WEEKDAY(DATE($A$7,$A$9+1-1,FV11),2),Auxiliar!$D$1:$E$7,2,0))</f>
        <v/>
      </c>
      <c r="FW12" s="67" t="str">
        <f>IF(FW$11="","",VLOOKUP(WEEKDAY(DATE($A$7,$A$9+1-1,FW11),2),Auxiliar!$D$1:$E$7,2,0))</f>
        <v/>
      </c>
      <c r="FX12" s="67" t="str">
        <f>IF(FX$11="","",VLOOKUP(WEEKDAY(DATE($A$7,$A$9+1-1,FX11),2),Auxiliar!$D$1:$E$7,2,0))</f>
        <v/>
      </c>
      <c r="FY12" s="67" t="str">
        <f>IF(FY$11="","",VLOOKUP(WEEKDAY(DATE($A$7,$A$9+1-1,FY11),2),Auxiliar!$D$1:$E$7,2,0))</f>
        <v/>
      </c>
      <c r="FZ12" s="67" t="str">
        <f>IF(FZ$11="","",VLOOKUP(WEEKDAY(DATE($A$7,$A$9+1-1,FZ11),2),Auxiliar!$D$1:$E$7,2,0))</f>
        <v/>
      </c>
      <c r="GA12" s="67" t="str">
        <f>IF(GA$11="","",VLOOKUP(WEEKDAY(DATE($A$7,$A$9+1-1,GA11),2),Auxiliar!$D$1:$E$7,2,0))</f>
        <v/>
      </c>
      <c r="GB12" s="67" t="str">
        <f>IF(GB$11="","",VLOOKUP(WEEKDAY(DATE($A$7,$A$9+1-1,GB11),2),Auxiliar!$D$1:$E$7,2,0))</f>
        <v/>
      </c>
      <c r="GC12" s="67" t="str">
        <f>IF(GC$11="","",VLOOKUP(WEEKDAY(DATE($A$7,$A$9+1-1,GC11),2),Auxiliar!$D$1:$E$7,2,0))</f>
        <v/>
      </c>
      <c r="GD12" s="67" t="str">
        <f>IF(GD$11="","",VLOOKUP(WEEKDAY(DATE($A$7,$A$9+1-1,GD11),2),Auxiliar!$D$1:$E$7,2,0))</f>
        <v/>
      </c>
      <c r="GE12" s="67" t="str">
        <f>IF(GE$11="","",VLOOKUP(WEEKDAY(DATE($A$7,$A$9+1-1,GE11),2),Auxiliar!$D$1:$E$7,2,0))</f>
        <v/>
      </c>
      <c r="GF12" s="67" t="str">
        <f>IF(GF$11="","",VLOOKUP(WEEKDAY(DATE($A$7,$A$9+1-1,GF11),2),Auxiliar!$D$1:$E$7,2,0))</f>
        <v/>
      </c>
      <c r="GG12" s="67" t="str">
        <f>IF(GG$11="","",VLOOKUP(WEEKDAY(DATE($A$7,$A$9+1-1,GG11),2),Auxiliar!$D$1:$E$7,2,0))</f>
        <v/>
      </c>
      <c r="GH12" s="67" t="str">
        <f>IF(GH$11="","",VLOOKUP(WEEKDAY(DATE($A$7,$A$9+1-1,GH11),2),Auxiliar!$D$1:$E$7,2,0))</f>
        <v/>
      </c>
      <c r="GI12" s="67" t="str">
        <f>IF(GI$11="","",VLOOKUP(WEEKDAY(DATE($A$7,$A$9+1-1,GI11),2),Auxiliar!$D$1:$E$7,2,0))</f>
        <v/>
      </c>
      <c r="GJ12" s="67" t="str">
        <f>IF(GJ$11="","",VLOOKUP(WEEKDAY(DATE($A$7,$A$9+1-1,GJ11),2),Auxiliar!$D$1:$E$7,2,0))</f>
        <v/>
      </c>
      <c r="GK12" s="67" t="str">
        <f>IF(GK$11="","",VLOOKUP(WEEKDAY(DATE($A$7,$A$9+1-1,GK11),2),Auxiliar!$D$1:$E$7,2,0))</f>
        <v/>
      </c>
      <c r="GL12" s="67" t="str">
        <f>IF(GL$11="","",VLOOKUP(WEEKDAY(DATE($A$7,$A$9+1-1,GL11),2),Auxiliar!$D$1:$E$7,2,0))</f>
        <v/>
      </c>
      <c r="GM12" s="67" t="str">
        <f>IF(GM$11="","",VLOOKUP(WEEKDAY(DATE($A$7,$A$9+1-1,GM11),2),Auxiliar!$D$1:$E$7,2,0))</f>
        <v/>
      </c>
      <c r="GN12" s="67" t="str">
        <f>IF(GN$11="","",VLOOKUP(WEEKDAY(DATE($A$7,$A$9+1-1,GN11),2),Auxiliar!$D$1:$E$7,2,0))</f>
        <v/>
      </c>
      <c r="GO12" s="67" t="str">
        <f>IF(GO$11="","",VLOOKUP(WEEKDAY(DATE($A$7,$A$9+1-1,GO11),2),Auxiliar!$D$1:$E$7,2,0))</f>
        <v/>
      </c>
      <c r="GP12" s="67" t="str">
        <f>IF(GP$11="","",VLOOKUP(WEEKDAY(DATE($A$7,$A$9+1-1,GP11),2),Auxiliar!$D$1:$E$7,2,0))</f>
        <v/>
      </c>
      <c r="GQ12" s="67" t="str">
        <f>IF(GQ$11="","",VLOOKUP(WEEKDAY(DATE($A$7,$A$9+1-1,GQ11),2),Auxiliar!$D$1:$E$7,2,0))</f>
        <v/>
      </c>
      <c r="GR12" s="67" t="str">
        <f>IF(GR$11="","",VLOOKUP(WEEKDAY(DATE($A$7,$A$9+1-1,GR11),2),Auxiliar!$D$1:$E$7,2,0))</f>
        <v/>
      </c>
      <c r="GS12" s="67" t="str">
        <f>IF(GS$11="","",VLOOKUP(WEEKDAY(DATE($A$7,$A$9+1-1,GS11),2),Auxiliar!$D$1:$E$7,2,0))</f>
        <v/>
      </c>
      <c r="GT12" s="67" t="str">
        <f>IF(GT$11="","",VLOOKUP(WEEKDAY(DATE($A$7,$A$9+1-1,GT11),2),Auxiliar!$D$1:$E$7,2,0))</f>
        <v/>
      </c>
      <c r="GU12" s="67" t="str">
        <f>IF(GU$11="","",VLOOKUP(WEEKDAY(DATE($A$7,$A$9+1-1,GU11),2),Auxiliar!$D$1:$E$7,2,0))</f>
        <v/>
      </c>
      <c r="GV12" s="67" t="str">
        <f>IF(GV$11="","",VLOOKUP(WEEKDAY(DATE($A$7,$A$9+1-1,GV11),2),Auxiliar!$D$1:$E$7,2,0))</f>
        <v/>
      </c>
      <c r="GW12" s="67" t="str">
        <f>IF(GW$11="","",VLOOKUP(WEEKDAY(DATE($A$7,$A$9+1-1,GW11),2),Auxiliar!$D$1:$E$7,2,0))</f>
        <v/>
      </c>
      <c r="GX12" s="67" t="str">
        <f>IF(GX$11="","",VLOOKUP(WEEKDAY(DATE($A$7,$A$9+1-1,GX11),2),Auxiliar!$D$1:$E$7,2,0))</f>
        <v/>
      </c>
      <c r="GY12" s="67" t="str">
        <f>IF(GY$11="","",VLOOKUP(WEEKDAY(DATE($A$7,$A$9+1-1,GY11),2),Auxiliar!$D$1:$E$7,2,0))</f>
        <v/>
      </c>
      <c r="GZ12" s="67" t="str">
        <f>IF(GZ$11="","",VLOOKUP(WEEKDAY(DATE($A$7,$A$9+1-1,GZ11),2),Auxiliar!$D$1:$E$7,2,0))</f>
        <v/>
      </c>
      <c r="HA12" s="67" t="str">
        <f>IF(HA$11="","",VLOOKUP(WEEKDAY(DATE($A$7,$A$9+1-1,HA11),2),Auxiliar!$D$1:$E$7,2,0))</f>
        <v/>
      </c>
      <c r="HB12" s="67" t="str">
        <f>IF(HB$11="","",VLOOKUP(WEEKDAY(DATE($A$7,$A$9+1-1,HB11),2),Auxiliar!$D$1:$E$7,2,0))</f>
        <v/>
      </c>
      <c r="HC12" s="67" t="str">
        <f>IF(HC$11="","",VLOOKUP(WEEKDAY(DATE($A$7,$A$9+1-1,HC11),2),Auxiliar!$D$1:$E$7,2,0))</f>
        <v/>
      </c>
      <c r="HD12" s="67" t="str">
        <f>IF(HD$11="","",VLOOKUP(WEEKDAY(DATE($A$7,$A$9+1-1,HD11),2),Auxiliar!$D$1:$E$7,2,0))</f>
        <v/>
      </c>
      <c r="HE12" s="67" t="str">
        <f>IF(HE$11="","",VLOOKUP(WEEKDAY(DATE($A$7,$A$9+1-1,HE11),2),Auxiliar!$D$1:$E$7,2,0))</f>
        <v/>
      </c>
      <c r="HF12" s="67" t="str">
        <f>IF(HF$11="","",VLOOKUP(WEEKDAY(DATE($A$7,$A$9+1-1,HF11),2),Auxiliar!$D$1:$E$7,2,0))</f>
        <v/>
      </c>
      <c r="HG12" s="67" t="str">
        <f>IF(HG$11="","",VLOOKUP(WEEKDAY(DATE($A$7,$A$9+1-1,HG11),2),Auxiliar!$D$1:$E$7,2,0))</f>
        <v/>
      </c>
      <c r="HH12" s="67" t="str">
        <f>IF(HH$11="","",VLOOKUP(WEEKDAY(DATE($A$7,$A$9+1-1,HH11),2),Auxiliar!$D$1:$E$7,2,0))</f>
        <v/>
      </c>
      <c r="HI12" s="67" t="str">
        <f>IF(HI$11="","",VLOOKUP(WEEKDAY(DATE($A$7,$A$9+1-1,HI11),2),Auxiliar!$D$1:$E$7,2,0))</f>
        <v/>
      </c>
      <c r="HJ12" s="67" t="str">
        <f>IF(HJ$11="","",VLOOKUP(WEEKDAY(DATE($A$7,$A$9+1-1,HJ11),2),Auxiliar!$D$1:$E$7,2,0))</f>
        <v/>
      </c>
      <c r="HK12" s="67" t="str">
        <f>IF(HK$11="","",VLOOKUP(WEEKDAY(DATE($A$7,$A$9+1-1,HK11),2),Auxiliar!$D$1:$E$7,2,0))</f>
        <v/>
      </c>
      <c r="HL12" s="67" t="str">
        <f>IF(HL$11="","",VLOOKUP(WEEKDAY(DATE($A$7,$A$9+1-1,HL11),2),Auxiliar!$D$1:$E$7,2,0))</f>
        <v/>
      </c>
      <c r="HM12" s="67" t="str">
        <f>IF(HM$11="","",VLOOKUP(WEEKDAY(DATE($A$7,$A$9+1-1,HM11),2),Auxiliar!$D$1:$E$7,2,0))</f>
        <v/>
      </c>
      <c r="HN12" s="67" t="str">
        <f>IF(HN$11="","",VLOOKUP(WEEKDAY(DATE($A$7,$A$9+1-1,HN11),2),Auxiliar!$D$1:$E$7,2,0))</f>
        <v/>
      </c>
      <c r="HO12" s="67" t="str">
        <f>IF(HO$11="","",VLOOKUP(WEEKDAY(DATE($A$7,$A$9+1-1,HO11),2),Auxiliar!$D$1:$E$7,2,0))</f>
        <v/>
      </c>
      <c r="HP12" s="67" t="str">
        <f>IF(HP$11="","",VLOOKUP(WEEKDAY(DATE($A$7,$A$9+1-1,HP11),2),Auxiliar!$D$1:$E$7,2,0))</f>
        <v/>
      </c>
      <c r="HQ12" s="67" t="str">
        <f>IF(HQ$11="","",VLOOKUP(WEEKDAY(DATE($A$7,$A$9+1-1,HQ11),2),Auxiliar!$D$1:$E$7,2,0))</f>
        <v/>
      </c>
      <c r="HR12" s="67" t="str">
        <f>IF(HR$11="","",VLOOKUP(WEEKDAY(DATE($A$7,$A$9+1-1,HR11),2),Auxiliar!$D$1:$E$7,2,0))</f>
        <v/>
      </c>
      <c r="HS12" s="67" t="str">
        <f>IF(HS$11="","",VLOOKUP(WEEKDAY(DATE($A$7,$A$9+1-1,HS11),2),Auxiliar!$D$1:$E$7,2,0))</f>
        <v/>
      </c>
      <c r="HT12" s="67" t="str">
        <f>IF(HT$11="","",VLOOKUP(WEEKDAY(DATE($A$7,$A$9+1-1,HT11),2),Auxiliar!$D$1:$E$7,2,0))</f>
        <v/>
      </c>
      <c r="HU12" s="67" t="str">
        <f>IF(HU$11="","",VLOOKUP(WEEKDAY(DATE($A$7,$A$9+1-1,HU11),2),Auxiliar!$D$1:$E$7,2,0))</f>
        <v/>
      </c>
      <c r="HV12" s="67" t="str">
        <f>IF(HV$11="","",VLOOKUP(WEEKDAY(DATE($A$7,$A$9+1-1,HV11),2),Auxiliar!$D$1:$E$7,2,0))</f>
        <v/>
      </c>
      <c r="HW12" s="67" t="str">
        <f>IF(HW$11="","",VLOOKUP(WEEKDAY(DATE($A$7,$A$9+1-1,HW11),2),Auxiliar!$D$1:$E$7,2,0))</f>
        <v/>
      </c>
      <c r="HX12" s="67" t="str">
        <f>IF(HX$11="","",VLOOKUP(WEEKDAY(DATE($A$7,$A$9+1-1,HX11),2),Auxiliar!$D$1:$E$7,2,0))</f>
        <v/>
      </c>
      <c r="HY12" s="67" t="str">
        <f>IF(HY$11="","",VLOOKUP(WEEKDAY(DATE($A$7,$A$9+1-1,HY11),2),Auxiliar!$D$1:$E$7,2,0))</f>
        <v/>
      </c>
      <c r="HZ12" s="67" t="str">
        <f>IF(HZ$11="","",VLOOKUP(WEEKDAY(DATE($A$7,$A$9+1-1,HZ11),2),Auxiliar!$D$1:$E$7,2,0))</f>
        <v/>
      </c>
      <c r="IA12" s="67" t="str">
        <f>IF(IA$11="","",VLOOKUP(WEEKDAY(DATE($A$7,$A$9+1-1,IA11),2),Auxiliar!$D$1:$E$7,2,0))</f>
        <v/>
      </c>
      <c r="IB12" s="67" t="str">
        <f>IF(IB$11="","",VLOOKUP(WEEKDAY(DATE($A$7,$A$9+1-1,IB11),2),Auxiliar!$D$1:$E$7,2,0))</f>
        <v/>
      </c>
      <c r="IC12" s="67" t="str">
        <f>IF(IC$11="","",VLOOKUP(WEEKDAY(DATE($A$7,$A$9+1-1,IC11),2),Auxiliar!$D$1:$E$7,2,0))</f>
        <v/>
      </c>
      <c r="ID12" s="67" t="str">
        <f>IF(ID$11="","",VLOOKUP(WEEKDAY(DATE($A$7,$A$9+1-1,ID11),2),Auxiliar!$D$1:$E$7,2,0))</f>
        <v/>
      </c>
      <c r="IE12" s="67" t="str">
        <f>IF(IE$11="","",VLOOKUP(WEEKDAY(DATE($A$7,$A$9+1-1,IE11),2),Auxiliar!$D$1:$E$7,2,0))</f>
        <v/>
      </c>
      <c r="IF12" s="67" t="str">
        <f>IF(IF$11="","",VLOOKUP(WEEKDAY(DATE($A$7,$A$9+1-1,IF11),2),Auxiliar!$D$1:$E$7,2,0))</f>
        <v/>
      </c>
      <c r="IG12" s="67" t="str">
        <f>IF(IG$11="","",VLOOKUP(WEEKDAY(DATE($A$7,$A$9+1-1,IG11),2),Auxiliar!$D$1:$E$7,2,0))</f>
        <v/>
      </c>
      <c r="IH12" s="67" t="str">
        <f>IF(IH$11="","",VLOOKUP(WEEKDAY(DATE($A$7,$A$9+1-1,IH11),2),Auxiliar!$D$1:$E$7,2,0))</f>
        <v/>
      </c>
      <c r="II12" s="67" t="str">
        <f>IF(II$11="","",VLOOKUP(WEEKDAY(DATE($A$7,$A$9+1-1,II11),2),Auxiliar!$D$1:$E$7,2,0))</f>
        <v/>
      </c>
      <c r="IJ12" s="67" t="str">
        <f>IF(IJ$11="","",VLOOKUP(WEEKDAY(DATE($A$7,$A$9+1-1,IJ11),2),Auxiliar!$D$1:$E$7,2,0))</f>
        <v/>
      </c>
      <c r="IK12" s="67" t="str">
        <f>IF(IK$11="","",VLOOKUP(WEEKDAY(DATE($A$7,$A$9+1-1,IK11),2),Auxiliar!$D$1:$E$7,2,0))</f>
        <v/>
      </c>
      <c r="IL12" s="67" t="str">
        <f>IF(IL$11="","",VLOOKUP(WEEKDAY(DATE($A$7,$A$9+1-1,IL11),2),Auxiliar!$D$1:$E$7,2,0))</f>
        <v/>
      </c>
      <c r="IM12" s="67" t="str">
        <f>IF(IM$11="","",VLOOKUP(WEEKDAY(DATE($A$7,$A$9+1-1,IM11),2),Auxiliar!$D$1:$E$7,2,0))</f>
        <v/>
      </c>
      <c r="IN12" s="67" t="str">
        <f>IF(IN$11="","",VLOOKUP(WEEKDAY(DATE($A$7,$A$9+1-1,IN11),2),Auxiliar!$D$1:$E$7,2,0))</f>
        <v/>
      </c>
      <c r="IO12" s="67" t="str">
        <f>IF(IO$11="","",VLOOKUP(WEEKDAY(DATE($A$7,$A$9+1-1,IO11),2),Auxiliar!$D$1:$E$7,2,0))</f>
        <v/>
      </c>
      <c r="IP12" s="67" t="str">
        <f>IF(IP$11="","",VLOOKUP(WEEKDAY(DATE($A$7,$A$9+1-1,IP11),2),Auxiliar!$D$1:$E$7,2,0))</f>
        <v/>
      </c>
      <c r="IQ12" s="67" t="str">
        <f>IF(IQ$11="","",VLOOKUP(WEEKDAY(DATE($A$7,$A$9+1-1,IQ11),2),Auxiliar!$D$1:$E$7,2,0))</f>
        <v/>
      </c>
      <c r="IR12" s="67" t="str">
        <f>IF(IR$11="","",VLOOKUP(WEEKDAY(DATE($A$7,$A$9+1-1,IR11),2),Auxiliar!$D$1:$E$7,2,0))</f>
        <v/>
      </c>
      <c r="IS12" s="67" t="str">
        <f>IF(IS$11="","",VLOOKUP(WEEKDAY(DATE($A$7,$A$9+1-1,IS11),2),Auxiliar!$D$1:$E$7,2,0))</f>
        <v/>
      </c>
      <c r="IT12" s="67" t="str">
        <f>IF(IT$11="","",VLOOKUP(WEEKDAY(DATE($A$7,$A$9+1-1,IT11),2),Auxiliar!$D$1:$E$7,2,0))</f>
        <v/>
      </c>
      <c r="IU12" s="67" t="str">
        <f>IF(IU$11="","",VLOOKUP(WEEKDAY(DATE($A$7,$A$9+1-1,IU11),2),Auxiliar!$D$1:$E$7,2,0))</f>
        <v/>
      </c>
      <c r="IV12" s="67" t="str">
        <f>IF(IV$11="","",VLOOKUP(WEEKDAY(DATE($A$7,$A$9+1-1,IV11),2),Auxiliar!$D$1:$E$7,2,0))</f>
        <v/>
      </c>
      <c r="IW12" s="67" t="str">
        <f>IF(IW$11="","",VLOOKUP(WEEKDAY(DATE($A$7,$A$9+1-1,IW11),2),Auxiliar!$D$1:$E$7,2,0))</f>
        <v/>
      </c>
      <c r="IX12" s="67" t="str">
        <f>IF(IX$11="","",VLOOKUP(WEEKDAY(DATE($A$7,$A$9+1-1,IX11),2),Auxiliar!$D$1:$E$7,2,0))</f>
        <v/>
      </c>
      <c r="IY12" s="67" t="str">
        <f>IF(IY$11="","",VLOOKUP(WEEKDAY(DATE($A$7,$A$9+1-1,IY11),2),Auxiliar!$D$1:$E$7,2,0))</f>
        <v/>
      </c>
      <c r="IZ12" s="67" t="str">
        <f>IF(IZ$11="","",VLOOKUP(WEEKDAY(DATE($A$7,$A$9+1-1,IZ11),2),Auxiliar!$D$1:$E$7,2,0))</f>
        <v/>
      </c>
      <c r="JA12" s="67" t="str">
        <f>IF(JA$11="","",VLOOKUP(WEEKDAY(DATE($A$7,$A$9+1-1,JA11),2),Auxiliar!$D$1:$E$7,2,0))</f>
        <v/>
      </c>
      <c r="JB12" s="67" t="str">
        <f>IF(JB$11="","",VLOOKUP(WEEKDAY(DATE($A$7,$A$9+1-1,JB11),2),Auxiliar!$D$1:$E$7,2,0))</f>
        <v/>
      </c>
      <c r="JC12" s="67" t="str">
        <f>IF(JC$11="","",VLOOKUP(WEEKDAY(DATE($A$7,$A$9+1-1,JC11),2),Auxiliar!$D$1:$E$7,2,0))</f>
        <v/>
      </c>
      <c r="JD12" s="67" t="str">
        <f>IF(JD$11="","",VLOOKUP(WEEKDAY(DATE($A$7,$A$9+1-1,JD11),2),Auxiliar!$D$1:$E$7,2,0))</f>
        <v/>
      </c>
      <c r="JE12" s="67" t="str">
        <f>IF(JE$11="","",VLOOKUP(WEEKDAY(DATE($A$7,$A$9+1-1,JE11),2),Auxiliar!$D$1:$E$7,2,0))</f>
        <v/>
      </c>
      <c r="JF12" s="67" t="str">
        <f>IF(JF$11="","",VLOOKUP(WEEKDAY(DATE($A$7,$A$9+1-1,JF11),2),Auxiliar!$D$1:$E$7,2,0))</f>
        <v/>
      </c>
      <c r="JG12" s="67" t="str">
        <f>IF(JG$11="","",VLOOKUP(WEEKDAY(DATE($A$7,$A$9+1-1,JG11),2),Auxiliar!$D$1:$E$7,2,0))</f>
        <v/>
      </c>
      <c r="JH12" s="67" t="str">
        <f>IF(JH$11="","",VLOOKUP(WEEKDAY(DATE($A$7,$A$9+1-1,JH11),2),Auxiliar!$D$1:$E$7,2,0))</f>
        <v/>
      </c>
      <c r="JI12" s="67" t="str">
        <f>IF(JI$11="","",VLOOKUP(WEEKDAY(DATE($A$7,$A$9+1-1,JI11),2),Auxiliar!$D$1:$E$7,2,0))</f>
        <v/>
      </c>
      <c r="JJ12" s="67" t="str">
        <f>IF(JJ$11="","",VLOOKUP(WEEKDAY(DATE($A$7,$A$9+1-1,JJ11),2),Auxiliar!$D$1:$E$7,2,0))</f>
        <v/>
      </c>
      <c r="JK12" s="67" t="str">
        <f>IF(JK$11="","",VLOOKUP(WEEKDAY(DATE($A$7,$A$9+1-1,JK11),2),Auxiliar!$D$1:$E$7,2,0))</f>
        <v/>
      </c>
      <c r="JL12" s="67" t="str">
        <f>IF(JL$11="","",VLOOKUP(WEEKDAY(DATE($A$7,$A$9+1-1,JL11),2),Auxiliar!$D$1:$E$7,2,0))</f>
        <v/>
      </c>
      <c r="JM12" s="67" t="str">
        <f>IF(JM$11="","",VLOOKUP(WEEKDAY(DATE($A$7,$A$9+1-1,JM11),2),Auxiliar!$D$1:$E$7,2,0))</f>
        <v/>
      </c>
      <c r="JN12" s="67" t="str">
        <f>IF(JN$11="","",VLOOKUP(WEEKDAY(DATE($A$7,$A$9+1-1,JN11),2),Auxiliar!$D$1:$E$7,2,0))</f>
        <v/>
      </c>
      <c r="JO12" s="67" t="str">
        <f>IF(JO$11="","",VLOOKUP(WEEKDAY(DATE($A$7,$A$9+1-1,JO11),2),Auxiliar!$D$1:$E$7,2,0))</f>
        <v/>
      </c>
      <c r="JP12" s="67" t="str">
        <f>IF(JP$11="","",VLOOKUP(WEEKDAY(DATE($A$7,$A$9+1-1,JP11),2),Auxiliar!$D$1:$E$7,2,0))</f>
        <v/>
      </c>
      <c r="JQ12" s="67" t="str">
        <f>IF(JQ$11="","",VLOOKUP(WEEKDAY(DATE($A$7,$A$9+1-1,JQ11),2),Auxiliar!$D$1:$E$7,2,0))</f>
        <v/>
      </c>
      <c r="JR12" s="67" t="str">
        <f>IF(JR$11="","",VLOOKUP(WEEKDAY(DATE($A$7,$A$9+1-1,JR11),2),Auxiliar!$D$1:$E$7,2,0))</f>
        <v/>
      </c>
      <c r="JS12" s="67" t="str">
        <f>IF(JS$11="","",VLOOKUP(WEEKDAY(DATE($A$7,$A$9+1-1,JS11),2),Auxiliar!$D$1:$E$7,2,0))</f>
        <v/>
      </c>
      <c r="JT12" s="67" t="str">
        <f>IF(JT$11="","",VLOOKUP(WEEKDAY(DATE($A$7,$A$9+1-1,JT11),2),Auxiliar!$D$1:$E$7,2,0))</f>
        <v/>
      </c>
      <c r="JU12" s="67" t="str">
        <f>IF(JU$11="","",VLOOKUP(WEEKDAY(DATE($A$7,$A$9+1-1,JU11),2),Auxiliar!$D$1:$E$7,2,0))</f>
        <v/>
      </c>
      <c r="JV12" s="67" t="str">
        <f>IF(JV$11="","",VLOOKUP(WEEKDAY(DATE($A$7,$A$9+1-1,JV11),2),Auxiliar!$D$1:$E$7,2,0))</f>
        <v/>
      </c>
      <c r="JW12" s="67" t="str">
        <f>IF(JW$11="","",VLOOKUP(WEEKDAY(DATE($A$7,$A$9+1-1,JW11),2),Auxiliar!$D$1:$E$7,2,0))</f>
        <v/>
      </c>
      <c r="JX12" s="67" t="str">
        <f>IF(JX$11="","",VLOOKUP(WEEKDAY(DATE($A$7,$A$9+1-1,JX11),2),Auxiliar!$D$1:$E$7,2,0))</f>
        <v/>
      </c>
      <c r="JY12" s="67" t="str">
        <f>IF(JY$11="","",VLOOKUP(WEEKDAY(DATE($A$7,$A$9+1-1,JY11),2),Auxiliar!$D$1:$E$7,2,0))</f>
        <v/>
      </c>
      <c r="JZ12" s="67" t="str">
        <f>IF(JZ$11="","",VLOOKUP(WEEKDAY(DATE($A$7,$A$9+1-1,JZ11),2),Auxiliar!$D$1:$E$7,2,0))</f>
        <v/>
      </c>
      <c r="KA12" s="67" t="str">
        <f>IF(KA$11="","",VLOOKUP(WEEKDAY(DATE($A$7,$A$9+1-1,KA11),2),Auxiliar!$D$1:$E$7,2,0))</f>
        <v/>
      </c>
      <c r="KB12" s="67" t="str">
        <f>IF(KB$11="","",VLOOKUP(WEEKDAY(DATE($A$7,$A$9+1-1,KB11),2),Auxiliar!$D$1:$E$7,2,0))</f>
        <v/>
      </c>
      <c r="KC12" s="67" t="str">
        <f>IF(KC$11="","",VLOOKUP(WEEKDAY(DATE($A$7,$A$9+1-1,KC11),2),Auxiliar!$D$1:$E$7,2,0))</f>
        <v/>
      </c>
      <c r="KD12" s="67" t="str">
        <f>IF(KD$11="","",VLOOKUP(WEEKDAY(DATE($A$7,$A$9+1-1,KD11),2),Auxiliar!$D$1:$E$7,2,0))</f>
        <v/>
      </c>
      <c r="KE12" s="67" t="str">
        <f>IF(KE$11="","",VLOOKUP(WEEKDAY(DATE($A$7,$A$9+1-1,KE11),2),Auxiliar!$D$1:$E$7,2,0))</f>
        <v/>
      </c>
      <c r="KF12" s="67" t="str">
        <f>IF(KF$11="","",VLOOKUP(WEEKDAY(DATE($A$7,$A$9+1-1,KF11),2),Auxiliar!$D$1:$E$7,2,0))</f>
        <v/>
      </c>
      <c r="KG12" s="67" t="str">
        <f>IF(KG$11="","",VLOOKUP(WEEKDAY(DATE($A$7,$A$9+1-1,KG11),2),Auxiliar!$D$1:$E$7,2,0))</f>
        <v/>
      </c>
      <c r="KH12" s="67" t="str">
        <f>IF(KH$11="","",VLOOKUP(WEEKDAY(DATE($A$7,$A$9+1-1,KH11),2),Auxiliar!$D$1:$E$7,2,0))</f>
        <v/>
      </c>
      <c r="KI12" s="67" t="str">
        <f>IF(KI$11="","",VLOOKUP(WEEKDAY(DATE($A$7,$A$9+1-1,KI11),2),Auxiliar!$D$1:$E$7,2,0))</f>
        <v/>
      </c>
      <c r="KJ12" s="67" t="str">
        <f>IF(KJ$11="","",VLOOKUP(WEEKDAY(DATE($A$7,$A$9+1-1,KJ11),2),Auxiliar!$D$1:$E$7,2,0))</f>
        <v/>
      </c>
      <c r="KK12" s="67" t="str">
        <f>IF(KK$11="","",VLOOKUP(WEEKDAY(DATE($A$7,$A$9+1-1,KK11),2),Auxiliar!$D$1:$E$7,2,0))</f>
        <v/>
      </c>
      <c r="KL12" s="67" t="str">
        <f>IF(KL$11="","",VLOOKUP(WEEKDAY(DATE($A$7,$A$9+1-1,KL11),2),Auxiliar!$D$1:$E$7,2,0))</f>
        <v/>
      </c>
      <c r="KM12" s="67" t="str">
        <f>IF(KM$11="","",VLOOKUP(WEEKDAY(DATE($A$7,$A$9+1-1,KM11),2),Auxiliar!$D$1:$E$7,2,0))</f>
        <v/>
      </c>
      <c r="KN12" s="67" t="str">
        <f>IF(KN$11="","",VLOOKUP(WEEKDAY(DATE($A$7,$A$9+1-1,KN11),2),Auxiliar!$D$1:$E$7,2,0))</f>
        <v/>
      </c>
      <c r="KO12" s="67" t="str">
        <f>IF(KO$11="","",VLOOKUP(WEEKDAY(DATE($A$7,$A$9+1-1,KO11),2),Auxiliar!$D$1:$E$7,2,0))</f>
        <v/>
      </c>
      <c r="KP12" s="67" t="str">
        <f>IF(KP$11="","",VLOOKUP(WEEKDAY(DATE($A$7,$A$9+1-1,KP11),2),Auxiliar!$D$1:$E$7,2,0))</f>
        <v/>
      </c>
      <c r="KQ12" s="67" t="str">
        <f>IF(KQ$11="","",VLOOKUP(WEEKDAY(DATE($A$7,$A$9+1-1,KQ11),2),Auxiliar!$D$1:$E$7,2,0))</f>
        <v/>
      </c>
      <c r="KR12" s="67" t="str">
        <f>IF(KR$11="","",VLOOKUP(WEEKDAY(DATE($A$7,$A$9+1-1,KR11),2),Auxiliar!$D$1:$E$7,2,0))</f>
        <v/>
      </c>
      <c r="KS12" s="67" t="str">
        <f>IF(KS$11="","",VLOOKUP(WEEKDAY(DATE($A$7,$A$9+1-1,KS11),2),Auxiliar!$D$1:$E$7,2,0))</f>
        <v/>
      </c>
      <c r="KT12" s="67" t="str">
        <f>IF(KT$11="","",VLOOKUP(WEEKDAY(DATE($A$7,$A$9+1-1,KT11),2),Auxiliar!$D$1:$E$7,2,0))</f>
        <v/>
      </c>
      <c r="KU12" s="67" t="str">
        <f>IF(KU$11="","",VLOOKUP(WEEKDAY(DATE($A$7,$A$9+1-1,KU11),2),Auxiliar!$D$1:$E$7,2,0))</f>
        <v/>
      </c>
      <c r="KV12" s="67" t="str">
        <f>IF(KV$11="","",VLOOKUP(WEEKDAY(DATE($A$7,$A$9+1-1,KV11),2),Auxiliar!$D$1:$E$7,2,0))</f>
        <v/>
      </c>
      <c r="KW12" s="67" t="str">
        <f>IF(KW$11="","",VLOOKUP(WEEKDAY(DATE($A$7,$A$9+1-1,KW11),2),Auxiliar!$D$1:$E$7,2,0))</f>
        <v/>
      </c>
      <c r="KX12" s="67" t="str">
        <f>IF(KX$11="","",VLOOKUP(WEEKDAY(DATE($A$7,$A$9+1-1,KX11),2),Auxiliar!$D$1:$E$7,2,0))</f>
        <v/>
      </c>
      <c r="KY12" s="67" t="str">
        <f>IF(KY$11="","",VLOOKUP(WEEKDAY(DATE($A$7,$A$9+1-1,KY11),2),Auxiliar!$D$1:$E$7,2,0))</f>
        <v/>
      </c>
      <c r="KZ12" s="67" t="str">
        <f>IF(KZ$11="","",VLOOKUP(WEEKDAY(DATE($A$7,$A$9+1-1,KZ11),2),Auxiliar!$D$1:$E$7,2,0))</f>
        <v/>
      </c>
      <c r="LA12" s="67" t="str">
        <f>IF(LA$11="","",VLOOKUP(WEEKDAY(DATE($A$7,$A$9+1-1,LA11),2),Auxiliar!$D$1:$E$7,2,0))</f>
        <v/>
      </c>
      <c r="LB12" s="67" t="str">
        <f>IF(LB$11="","",VLOOKUP(WEEKDAY(DATE($A$7,$A$9+1-1,LB11),2),Auxiliar!$D$1:$E$7,2,0))</f>
        <v/>
      </c>
      <c r="LC12" s="67" t="str">
        <f>IF(LC$11="","",VLOOKUP(WEEKDAY(DATE($A$7,$A$9+1-1,LC11),2),Auxiliar!$D$1:$E$7,2,0))</f>
        <v/>
      </c>
      <c r="LD12" s="67" t="str">
        <f>IF(LD$11="","",VLOOKUP(WEEKDAY(DATE($A$7,$A$9+1-1,LD11),2),Auxiliar!$D$1:$E$7,2,0))</f>
        <v/>
      </c>
      <c r="LE12" s="67" t="str">
        <f>IF(LE$11="","",VLOOKUP(WEEKDAY(DATE($A$7,$A$9+1-1,LE11),2),Auxiliar!$D$1:$E$7,2,0))</f>
        <v/>
      </c>
      <c r="LF12" s="67" t="str">
        <f>IF(LF$11="","",VLOOKUP(WEEKDAY(DATE($A$7,$A$9+1-1,LF11),2),Auxiliar!$D$1:$E$7,2,0))</f>
        <v/>
      </c>
      <c r="LG12" s="67" t="str">
        <f>IF(LG$11="","",VLOOKUP(WEEKDAY(DATE($A$7,$A$9+1-1,LG11),2),Auxiliar!$D$1:$E$7,2,0))</f>
        <v/>
      </c>
      <c r="LH12" s="67" t="str">
        <f>IF(LH$11="","",VLOOKUP(WEEKDAY(DATE($A$7,$A$9+1-1,LH11),2),Auxiliar!$D$1:$E$7,2,0))</f>
        <v/>
      </c>
      <c r="LI12" s="67" t="str">
        <f>IF(LI$11="","",VLOOKUP(WEEKDAY(DATE($A$7,$A$9+1-1,LI11),2),Auxiliar!$D$1:$E$7,2,0))</f>
        <v/>
      </c>
      <c r="LJ12" s="67" t="str">
        <f>IF(LJ$11="","",VLOOKUP(WEEKDAY(DATE($A$7,$A$9+1-1,LJ11),2),Auxiliar!$D$1:$E$7,2,0))</f>
        <v/>
      </c>
      <c r="LK12" s="67" t="str">
        <f>IF(LK$11="","",VLOOKUP(WEEKDAY(DATE($A$7,$A$9+1-1,LK11),2),Auxiliar!$D$1:$E$7,2,0))</f>
        <v/>
      </c>
      <c r="LL12" s="67" t="str">
        <f>IF(LL$11="","",VLOOKUP(WEEKDAY(DATE($A$7,$A$9+1-1,LL11),2),Auxiliar!$D$1:$E$7,2,0))</f>
        <v/>
      </c>
      <c r="LM12" s="67" t="str">
        <f>IF(LM$11="","",VLOOKUP(WEEKDAY(DATE($A$7,$A$9+1-1,LM11),2),Auxiliar!$D$1:$E$7,2,0))</f>
        <v/>
      </c>
      <c r="LN12" s="67" t="str">
        <f>IF(LN$11="","",VLOOKUP(WEEKDAY(DATE($A$7,$A$9+1-1,LN11),2),Auxiliar!$D$1:$E$7,2,0))</f>
        <v/>
      </c>
      <c r="LO12" s="67" t="str">
        <f>IF(LO$11="","",VLOOKUP(WEEKDAY(DATE($A$7,$A$9+1-1,LO11),2),Auxiliar!$D$1:$E$7,2,0))</f>
        <v/>
      </c>
      <c r="LP12" s="67" t="str">
        <f>IF(LP$11="","",VLOOKUP(WEEKDAY(DATE($A$7,$A$9+1-1,LP11),2),Auxiliar!$D$1:$E$7,2,0))</f>
        <v/>
      </c>
      <c r="LQ12" s="67" t="str">
        <f>IF(LQ$11="","",VLOOKUP(WEEKDAY(DATE($A$7,$A$9+1-1,LQ11),2),Auxiliar!$D$1:$E$7,2,0))</f>
        <v/>
      </c>
      <c r="LR12" s="67" t="str">
        <f>IF(LR$11="","",VLOOKUP(WEEKDAY(DATE($A$7,$A$9+1-1,LR11),2),Auxiliar!$D$1:$E$7,2,0))</f>
        <v/>
      </c>
      <c r="LS12" s="67" t="str">
        <f>IF(LS$11="","",VLOOKUP(WEEKDAY(DATE($A$7,$A$9+1-1,LS11),2),Auxiliar!$D$1:$E$7,2,0))</f>
        <v/>
      </c>
      <c r="LT12" s="67" t="str">
        <f>IF(LT$11="","",VLOOKUP(WEEKDAY(DATE($A$7,$A$9+1-1,LT11),2),Auxiliar!$D$1:$E$7,2,0))</f>
        <v/>
      </c>
      <c r="LU12" s="67" t="str">
        <f>IF(LU$11="","",VLOOKUP(WEEKDAY(DATE($A$7,$A$9+1-1,LU11),2),Auxiliar!$D$1:$E$7,2,0))</f>
        <v/>
      </c>
      <c r="LV12" s="67" t="str">
        <f>IF(LV$11="","",VLOOKUP(WEEKDAY(DATE($A$7,$A$9+1-1,LV11),2),Auxiliar!$D$1:$E$7,2,0))</f>
        <v/>
      </c>
      <c r="LW12" s="67" t="str">
        <f>IF(LW$11="","",VLOOKUP(WEEKDAY(DATE($A$7,$A$9+1-1,LW11),2),Auxiliar!$D$1:$E$7,2,0))</f>
        <v/>
      </c>
      <c r="LX12" s="67" t="str">
        <f>IF(LX$11="","",VLOOKUP(WEEKDAY(DATE($A$7,$A$9+1-1,LX11),2),Auxiliar!$D$1:$E$7,2,0))</f>
        <v/>
      </c>
      <c r="LY12" s="67" t="str">
        <f>IF(LY$11="","",VLOOKUP(WEEKDAY(DATE($A$7,$A$9+1-1,LY11),2),Auxiliar!$D$1:$E$7,2,0))</f>
        <v/>
      </c>
      <c r="LZ12" s="67" t="str">
        <f>IF(LZ$11="","",VLOOKUP(WEEKDAY(DATE($A$7,$A$9+1-1,LZ11),2),Auxiliar!$D$1:$E$7,2,0))</f>
        <v/>
      </c>
      <c r="MA12" s="67" t="str">
        <f>IF(MA$11="","",VLOOKUP(WEEKDAY(DATE($A$7,$A$9+1-1,MA11),2),Auxiliar!$D$1:$E$7,2,0))</f>
        <v/>
      </c>
      <c r="MB12" s="67" t="str">
        <f>IF(MB$11="","",VLOOKUP(WEEKDAY(DATE($A$7,$A$9+1-1,MB11),2),Auxiliar!$D$1:$E$7,2,0))</f>
        <v/>
      </c>
      <c r="MC12" s="67" t="str">
        <f>IF(MC$11="","",VLOOKUP(WEEKDAY(DATE($A$7,$A$9+1-1,MC11),2),Auxiliar!$D$1:$E$7,2,0))</f>
        <v/>
      </c>
      <c r="MD12" s="67" t="str">
        <f>IF(MD$11="","",VLOOKUP(WEEKDAY(DATE($A$7,$A$9+1-1,MD11),2),Auxiliar!$D$1:$E$7,2,0))</f>
        <v/>
      </c>
      <c r="ME12" s="67" t="str">
        <f>IF(ME$11="","",VLOOKUP(WEEKDAY(DATE($A$7,$A$9+1-1,ME11),2),Auxiliar!$D$1:$E$7,2,0))</f>
        <v>Mie</v>
      </c>
      <c r="MF12" s="67" t="str">
        <f>IF(MF$11="","",VLOOKUP(WEEKDAY(DATE($A$7,$A$9+1-1,MF11),2),Auxiliar!$D$1:$E$7,2,0))</f>
        <v>Jue</v>
      </c>
      <c r="MG12" s="67" t="str">
        <f>IF(MG$11="","",VLOOKUP(WEEKDAY(DATE($A$7,$A$9+1-1,MG11),2),Auxiliar!$D$1:$E$7,2,0))</f>
        <v>Vie</v>
      </c>
      <c r="MH12" s="67" t="str">
        <f>IF(MH$11="","",VLOOKUP(WEEKDAY(DATE($A$7,$A$9+1-1,MH11),2),Auxiliar!$D$1:$E$7,2,0))</f>
        <v>Sab</v>
      </c>
      <c r="MI12" s="67" t="str">
        <f>IF(MI$11="","",VLOOKUP(WEEKDAY(DATE($A$7,$A$9+1-1,MI11),2),Auxiliar!$D$1:$E$7,2,0))</f>
        <v>Dom</v>
      </c>
      <c r="MJ12" s="67" t="str">
        <f>IF(MJ$11="","",VLOOKUP(WEEKDAY(DATE($A$7,$A$9+1-1,MJ11),2),Auxiliar!$D$1:$E$7,2,0))</f>
        <v>Lun</v>
      </c>
      <c r="MK12" s="67" t="str">
        <f>IF(MK$11="","",VLOOKUP(WEEKDAY(DATE($A$7,$A$9+1-1,MK11),2),Auxiliar!$D$1:$E$7,2,0))</f>
        <v>Mar</v>
      </c>
      <c r="ML12" s="67" t="str">
        <f>IF(ML$11="","",VLOOKUP(WEEKDAY(DATE($A$7,$A$9+1-1,ML11),2),Auxiliar!$D$1:$E$7,2,0))</f>
        <v>Mie</v>
      </c>
      <c r="MM12" s="67" t="str">
        <f>IF(MM$11="","",VLOOKUP(WEEKDAY(DATE($A$7,$A$9+1-1,MM11),2),Auxiliar!$D$1:$E$7,2,0))</f>
        <v>Jue</v>
      </c>
      <c r="MN12" s="67" t="str">
        <f>IF(MN$11="","",VLOOKUP(WEEKDAY(DATE($A$7,$A$9+1-1,MN11),2),Auxiliar!$D$1:$E$7,2,0))</f>
        <v>Vie</v>
      </c>
      <c r="MO12" s="67" t="str">
        <f>IF(MO$11="","",VLOOKUP(WEEKDAY(DATE($A$7,$A$9+1-1,MO11),2),Auxiliar!$D$1:$E$7,2,0))</f>
        <v>Sab</v>
      </c>
      <c r="MP12" s="67" t="str">
        <f>IF(MP$11="","",VLOOKUP(WEEKDAY(DATE($A$7,$A$9+1-1,MP11),2),Auxiliar!$D$1:$E$7,2,0))</f>
        <v>Dom</v>
      </c>
      <c r="MQ12" s="67" t="str">
        <f>IF(MQ$11="","",VLOOKUP(WEEKDAY(DATE($A$7,$A$9+1-1,MQ11),2),Auxiliar!$D$1:$E$7,2,0))</f>
        <v>Lun</v>
      </c>
      <c r="MR12" s="67" t="str">
        <f>IF(MR$11="","",VLOOKUP(WEEKDAY(DATE($A$7,$A$9+1-1,MR11),2),Auxiliar!$D$1:$E$7,2,0))</f>
        <v>Mar</v>
      </c>
      <c r="MS12" s="67" t="str">
        <f>IF(MS$11="","",VLOOKUP(WEEKDAY(DATE($A$7,$A$9+1-1,MS11),2),Auxiliar!$D$1:$E$7,2,0))</f>
        <v>Mie</v>
      </c>
      <c r="MT12" s="67" t="str">
        <f>IF(MT$11="","",VLOOKUP(WEEKDAY(DATE($A$7,$A$9+1-1,MT11),2),Auxiliar!$D$1:$E$7,2,0))</f>
        <v>Jue</v>
      </c>
      <c r="MU12" s="67" t="str">
        <f>IF(MU$11="","",VLOOKUP(WEEKDAY(DATE($A$7,$A$9+1-1,MU11),2),Auxiliar!$D$1:$E$7,2,0))</f>
        <v>Vie</v>
      </c>
      <c r="MV12" s="67" t="str">
        <f>IF(MV$11="","",VLOOKUP(WEEKDAY(DATE($A$7,$A$9+1-1,MV11),2),Auxiliar!$D$1:$E$7,2,0))</f>
        <v>Sab</v>
      </c>
      <c r="MW12" s="67" t="str">
        <f>IF(MW$11="","",VLOOKUP(WEEKDAY(DATE($A$7,$A$9+1-1,MW11),2),Auxiliar!$D$1:$E$7,2,0))</f>
        <v>Dom</v>
      </c>
      <c r="MX12" s="67" t="str">
        <f>IF(MX$11="","",VLOOKUP(WEEKDAY(DATE($A$7,$A$9+1-1,MX11),2),Auxiliar!$D$1:$E$7,2,0))</f>
        <v>Lun</v>
      </c>
      <c r="MY12" s="67" t="str">
        <f>IF(MY$11="","",VLOOKUP(WEEKDAY(DATE($A$7,$A$9+1-1,MY11),2),Auxiliar!$D$1:$E$7,2,0))</f>
        <v>Mar</v>
      </c>
      <c r="MZ12" s="67" t="str">
        <f>IF(MZ$11="","",VLOOKUP(WEEKDAY(DATE($A$7,$A$9+1-1,MZ11),2),Auxiliar!$D$1:$E$7,2,0))</f>
        <v>Mie</v>
      </c>
      <c r="NA12" s="67" t="str">
        <f>IF(NA$11="","",VLOOKUP(WEEKDAY(DATE($A$7,$A$9+1-1,NA11),2),Auxiliar!$D$1:$E$7,2,0))</f>
        <v>Jue</v>
      </c>
      <c r="NB12" s="67" t="str">
        <f>IF(NB$11="","",VLOOKUP(WEEKDAY(DATE($A$7,$A$9+1-1,NB11),2),Auxiliar!$D$1:$E$7,2,0))</f>
        <v>Vie</v>
      </c>
      <c r="NC12" s="67" t="str">
        <f>IF(NC$11="","",VLOOKUP(WEEKDAY(DATE($A$7,$A$9+1-1,NC11),2),Auxiliar!$D$1:$E$7,2,0))</f>
        <v>Sab</v>
      </c>
      <c r="ND12" s="67" t="str">
        <f>IF(ND$11="","",VLOOKUP(WEEKDAY(DATE($A$7,$A$9+1-1,ND11),2),Auxiliar!$D$1:$E$7,2,0))</f>
        <v>Dom</v>
      </c>
      <c r="NE12" s="67" t="str">
        <f>IF(NE$11="","",VLOOKUP(WEEKDAY(DATE($A$7,$A$9+1-1,NE11),2),Auxiliar!$D$1:$E$7,2,0))</f>
        <v>Lun</v>
      </c>
      <c r="NF12" s="67" t="str">
        <f>IF(NF$11="","",VLOOKUP(WEEKDAY(DATE($A$7,$A$9+1-1,NF11),2),Auxiliar!$D$1:$E$7,2,0))</f>
        <v>Mar</v>
      </c>
      <c r="NG12" s="67" t="str">
        <f>IF(NG$11="","",VLOOKUP(WEEKDAY(DATE($A$7,$A$9+1-1,NG11),2),Auxiliar!$D$1:$E$7,2,0))</f>
        <v>Mie</v>
      </c>
      <c r="NH12" s="67" t="str">
        <f>IF(NH$11="","",VLOOKUP(WEEKDAY(DATE($A$7,$A$9+1-1,NH11),2),Auxiliar!$D$1:$E$7,2,0))</f>
        <v>Jue</v>
      </c>
      <c r="NI12" s="68" t="str">
        <f>IF(NI$11="","",VLOOKUP(WEEKDAY(DATE($A$7,$A$9+1-1,NI11),2),Auxiliar!$D$1:$E$7,2,0))</f>
        <v>Vie</v>
      </c>
      <c r="NJ12" s="32"/>
      <c r="NK12" s="39"/>
      <c r="NL12" s="48"/>
      <c r="NM12" s="49"/>
      <c r="NN12" s="54"/>
      <c r="NO12" s="55"/>
      <c r="NP12" s="45"/>
      <c r="NQ12" s="58" t="s">
        <v>22</v>
      </c>
      <c r="NR12" s="58" t="s">
        <v>0</v>
      </c>
      <c r="NS12" s="58" t="s">
        <v>66</v>
      </c>
      <c r="NT12" s="58" t="s">
        <v>30</v>
      </c>
    </row>
    <row r="13" spans="1:756" ht="15.5" x14ac:dyDescent="0.35">
      <c r="A13" s="3" t="s">
        <v>44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33"/>
      <c r="NK13" s="39"/>
      <c r="NL13" s="48"/>
      <c r="NN13" s="76" t="str" cm="1">
        <f t="array" aca="1" ref="NN13" ca="1">IF(SUMPRODUCT((OFFSET($A13,0,31*($A$9-1)+1,1,31)&lt;&gt;"")*(IF(OFFSET($A13,0,31*($A$9-1)+1,1,31)=$NL$9,0.5,IF(OFFSET($A13,0,31*($A$9-1)+1,1,31)=$NL$8,0,1))*(OFFSET($A$9,0,31*($A$9-1)+1,1,31))))=0,"",SUMPRODUCT((OFFSET($A13,0,31*($A$9-1)+1,1,31)&lt;&gt;"")*(IF(OFFSET($A13,0,31*($A$9-1)+1,1,31)=$NL$9,0.5,IF(OFFSET($A13,0,31*($A$9-1)+1,1,31)=$NL$8,0,1))*(OFFSET($A$9,0,31*($A$9-1)+1,1,31)))))</f>
        <v/>
      </c>
      <c r="NO13" s="77" t="str" cm="1">
        <f t="array" aca="1" ref="NO13" ca="1">IF(SUMPRODUCT((OFFSET($A13,0,1,1,372)&lt;&gt;"")*(IF(OFFSET($A13,0,1,1,372)=$NL$9,0.5,IF(OFFSET($A13,0,1,1,372)=$NL$8,0,1))*(OFFSET($A$9,0,1,1,372))))=0,"",SUMPRODUCT((OFFSET($A13,0,1,1,372)&lt;&gt;"")*(IF(OFFSET($A13,0,1,1,372)=$NL$9,0.5,IF(OFFSET($A13,0,1,1,372)=$NL$8,0,1))*(OFFSET($A$9,0,1,1,372)))))</f>
        <v/>
      </c>
      <c r="NP13" s="46"/>
      <c r="NQ13" s="75" t="str">
        <f t="array" aca="1" ref="NQ13" ca="1">IF(SUMPRODUCT((OFFSET($A13,0,1,1,372)&lt;&gt;"")*(OFFSET($A$9,0,1,1,372))*((OFFSET($A13,0,1,1,372))=NL$5))=0,"",SUMPRODUCT((OFFSET($A13,0,1,1,372)&lt;&gt;"")*(OFFSET($A$9,0,1,1,372))*((OFFSET($A13,0,1,1,372))=NL$5)))</f>
        <v/>
      </c>
      <c r="NR13" s="75" t="str">
        <f t="array" aca="1" ref="NR13" ca="1">IF(SUMPRODUCT((OFFSET($A13,0,1,1,372)&lt;&gt;"")*(OFFSET($A$9,0,1,1,372))*((OFFSET($A13,0,1,1,372))=NL$6))=0,"",SUMPRODUCT((OFFSET($A13,0,1,1,372)&lt;&gt;"")*(OFFSET($A$9,0,1,1,372))*((OFFSET($A13,0,1,1,372))=NL$6)))</f>
        <v/>
      </c>
      <c r="NS13" s="75" t="str">
        <f t="array" aca="1" ref="NS13" ca="1">IF(SUMPRODUCT((OFFSET($A13,0,1,1,372)&lt;&gt;"")*(OFFSET($A$9,0,1,1,372))*((OFFSET($A13,0,1,1,372))=NL$7))=0,"",SUMPRODUCT((OFFSET($A13,0,1,1,372)&lt;&gt;"")*(OFFSET($A$9,0,1,1,372))*((OFFSET($A13,0,1,1,372))=NL$7)))</f>
        <v/>
      </c>
      <c r="NT13" s="75" t="str" cm="1">
        <f t="array" aca="1" ref="NT13" ca="1">IF(SUMPRODUCT((OFFSET($A13,0,1,1,372)&lt;&gt;"")*(OFFSET($A$9,0,1,1,372))*((OFFSET($A13,0,1,1,372))=NL$9))=0,"",SUMPRODUCT((OFFSET($A13,0,1,1,372)&lt;&gt;"")*(OFFSET($A$9,0,1,1,372))*((OFFSET($A13,0,1,1,372))=NL$9)))</f>
        <v/>
      </c>
    </row>
    <row r="14" spans="1:756" ht="15.5" x14ac:dyDescent="0.35">
      <c r="A14" s="3" t="s">
        <v>45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33"/>
      <c r="NK14" s="39"/>
      <c r="NL14" s="48"/>
      <c r="NN14" s="76" t="str" cm="1">
        <f t="array" aca="1" ref="NN14" ca="1">IF(SUMPRODUCT((OFFSET($A14,0,31*($A$9-1)+1,1,31)&lt;&gt;"")*(IF(OFFSET($A14,0,31*($A$9-1)+1,1,31)=$NL$9,0.5,IF(OFFSET($A14,0,31*($A$9-1)+1,1,31)=$NL$8,0,1))*(OFFSET($A$9,0,31*($A$9-1)+1,1,31))))=0,"",SUMPRODUCT((OFFSET($A14,0,31*($A$9-1)+1,1,31)&lt;&gt;"")*(IF(OFFSET($A14,0,31*($A$9-1)+1,1,31)=$NL$9,0.5,IF(OFFSET($A14,0,31*($A$9-1)+1,1,31)=$NL$8,0,1))*(OFFSET($A$9,0,31*($A$9-1)+1,1,31)))))</f>
        <v/>
      </c>
      <c r="NO14" s="77" t="str" cm="1">
        <f t="array" aca="1" ref="NO14" ca="1">IF(SUMPRODUCT((OFFSET($A14,0,1,1,372)&lt;&gt;"")*(IF(OFFSET($A14,0,1,1,372)=$NL$9,0.5,IF(OFFSET($A14,0,1,1,372)=$NL$8,0,1))*(OFFSET($A$9,0,1,1,372))))=0,"",SUMPRODUCT((OFFSET($A14,0,1,1,372)&lt;&gt;"")*(IF(OFFSET($A14,0,1,1,372)=$NL$9,0.5,IF(OFFSET($A14,0,1,1,372)=$NL$8,0,1))*(OFFSET($A$9,0,1,1,372)))))</f>
        <v/>
      </c>
      <c r="NP14" s="46"/>
      <c r="NQ14" s="75" t="str">
        <f t="array" aca="1" ref="NQ14" ca="1">IF(SUMPRODUCT((OFFSET($A14,0,1,1,372)&lt;&gt;"")*(OFFSET($A$9,0,1,1,372))*((OFFSET($A14,0,1,1,372))=NL$5))=0,"",SUMPRODUCT((OFFSET($A14,0,1,1,372)&lt;&gt;"")*(OFFSET($A$9,0,1,1,372))*((OFFSET($A14,0,1,1,372))=NL$5)))</f>
        <v/>
      </c>
      <c r="NR14" s="75" t="str">
        <f t="array" aca="1" ref="NR14" ca="1">IF(SUMPRODUCT((OFFSET($A14,0,1,1,372)&lt;&gt;"")*(OFFSET($A$9,0,1,1,372))*((OFFSET($A14,0,1,1,372))=NL$6))=0,"",SUMPRODUCT((OFFSET($A14,0,1,1,372)&lt;&gt;"")*(OFFSET($A$9,0,1,1,372))*((OFFSET($A14,0,1,1,372))=NL$6)))</f>
        <v/>
      </c>
      <c r="NS14" s="75" t="str">
        <f t="array" aca="1" ref="NS14" ca="1">IF(SUMPRODUCT((OFFSET($A14,0,1,1,372)&lt;&gt;"")*(OFFSET($A$9,0,1,1,372))*((OFFSET($A14,0,1,1,372))=NL$7))=0,"",SUMPRODUCT((OFFSET($A14,0,1,1,372)&lt;&gt;"")*(OFFSET($A$9,0,1,1,372))*((OFFSET($A14,0,1,1,372))=NL$7)))</f>
        <v/>
      </c>
      <c r="NT14" s="75" t="str" cm="1">
        <f t="array" aca="1" ref="NT14" ca="1">IF(SUMPRODUCT((OFFSET($A14,0,1,1,372)&lt;&gt;"")*(OFFSET($A$9,0,1,1,372))*((OFFSET($A14,0,1,1,372))=NL$9))=0,"",SUMPRODUCT((OFFSET($A14,0,1,1,372)&lt;&gt;"")*(OFFSET($A$9,0,1,1,372))*((OFFSET($A14,0,1,1,372))=NL$9)))</f>
        <v/>
      </c>
    </row>
    <row r="15" spans="1:756" ht="15.5" x14ac:dyDescent="0.35">
      <c r="A15" s="3" t="s">
        <v>46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33"/>
      <c r="NK15" s="39"/>
      <c r="NL15" s="48"/>
      <c r="NN15" s="76" t="str" cm="1">
        <f t="array" aca="1" ref="NN15" ca="1">IF(SUMPRODUCT((OFFSET($A15,0,31*($A$9-1)+1,1,31)&lt;&gt;"")*(IF(OFFSET($A15,0,31*($A$9-1)+1,1,31)=$NL$9,0.5,IF(OFFSET($A15,0,31*($A$9-1)+1,1,31)=$NL$8,0,1))*(OFFSET($A$9,0,31*($A$9-1)+1,1,31))))=0,"",SUMPRODUCT((OFFSET($A15,0,31*($A$9-1)+1,1,31)&lt;&gt;"")*(IF(OFFSET($A15,0,31*($A$9-1)+1,1,31)=$NL$9,0.5,IF(OFFSET($A15,0,31*($A$9-1)+1,1,31)=$NL$8,0,1))*(OFFSET($A$9,0,31*($A$9-1)+1,1,31)))))</f>
        <v/>
      </c>
      <c r="NO15" s="77" t="str" cm="1">
        <f t="array" aca="1" ref="NO15" ca="1">IF(SUMPRODUCT((OFFSET($A15,0,1,1,372)&lt;&gt;"")*(IF(OFFSET($A15,0,1,1,372)=$NL$9,0.5,IF(OFFSET($A15,0,1,1,372)=$NL$8,0,1))*(OFFSET($A$9,0,1,1,372))))=0,"",SUMPRODUCT((OFFSET($A15,0,1,1,372)&lt;&gt;"")*(IF(OFFSET($A15,0,1,1,372)=$NL$9,0.5,IF(OFFSET($A15,0,1,1,372)=$NL$8,0,1))*(OFFSET($A$9,0,1,1,372)))))</f>
        <v/>
      </c>
      <c r="NP15" s="46"/>
      <c r="NQ15" s="75" t="str">
        <f t="array" aca="1" ref="NQ15" ca="1">IF(SUMPRODUCT((OFFSET($A15,0,1,1,372)&lt;&gt;"")*(OFFSET($A$9,0,1,1,372))*((OFFSET($A15,0,1,1,372))=NL$5))=0,"",SUMPRODUCT((OFFSET($A15,0,1,1,372)&lt;&gt;"")*(OFFSET($A$9,0,1,1,372))*((OFFSET($A15,0,1,1,372))=NL$5)))</f>
        <v/>
      </c>
      <c r="NR15" s="75" t="str">
        <f t="array" aca="1" ref="NR15" ca="1">IF(SUMPRODUCT((OFFSET($A15,0,1,1,372)&lt;&gt;"")*(OFFSET($A$9,0,1,1,372))*((OFFSET($A15,0,1,1,372))=NL$6))=0,"",SUMPRODUCT((OFFSET($A15,0,1,1,372)&lt;&gt;"")*(OFFSET($A$9,0,1,1,372))*((OFFSET($A15,0,1,1,372))=NL$6)))</f>
        <v/>
      </c>
      <c r="NS15" s="75" t="str">
        <f t="array" aca="1" ref="NS15" ca="1">IF(SUMPRODUCT((OFFSET($A15,0,1,1,372)&lt;&gt;"")*(OFFSET($A$9,0,1,1,372))*((OFFSET($A15,0,1,1,372))=NL$7))=0,"",SUMPRODUCT((OFFSET($A15,0,1,1,372)&lt;&gt;"")*(OFFSET($A$9,0,1,1,372))*((OFFSET($A15,0,1,1,372))=NL$7)))</f>
        <v/>
      </c>
      <c r="NT15" s="75" t="str" cm="1">
        <f t="array" aca="1" ref="NT15" ca="1">IF(SUMPRODUCT((OFFSET($A15,0,1,1,372)&lt;&gt;"")*(OFFSET($A$9,0,1,1,372))*((OFFSET($A15,0,1,1,372))=NL$9))=0,"",SUMPRODUCT((OFFSET($A15,0,1,1,372)&lt;&gt;"")*(OFFSET($A$9,0,1,1,372))*((OFFSET($A15,0,1,1,372))=NL$9)))</f>
        <v/>
      </c>
    </row>
    <row r="16" spans="1:756" ht="15.5" x14ac:dyDescent="0.35">
      <c r="A16" s="3" t="s">
        <v>47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33"/>
      <c r="NK16" s="39"/>
      <c r="NL16" s="48"/>
      <c r="NN16" s="76" t="str" cm="1">
        <f t="array" aca="1" ref="NN16" ca="1">IF(SUMPRODUCT((OFFSET($A16,0,31*($A$9-1)+1,1,31)&lt;&gt;"")*(IF(OFFSET($A16,0,31*($A$9-1)+1,1,31)=$NL$9,0.5,IF(OFFSET($A16,0,31*($A$9-1)+1,1,31)=$NL$8,0,1))*(OFFSET($A$9,0,31*($A$9-1)+1,1,31))))=0,"",SUMPRODUCT((OFFSET($A16,0,31*($A$9-1)+1,1,31)&lt;&gt;"")*(IF(OFFSET($A16,0,31*($A$9-1)+1,1,31)=$NL$9,0.5,IF(OFFSET($A16,0,31*($A$9-1)+1,1,31)=$NL$8,0,1))*(OFFSET($A$9,0,31*($A$9-1)+1,1,31)))))</f>
        <v/>
      </c>
      <c r="NO16" s="77" t="str" cm="1">
        <f t="array" aca="1" ref="NO16" ca="1">IF(SUMPRODUCT((OFFSET($A16,0,1,1,372)&lt;&gt;"")*(IF(OFFSET($A16,0,1,1,372)=$NL$9,0.5,IF(OFFSET($A16,0,1,1,372)=$NL$8,0,1))*(OFFSET($A$9,0,1,1,372))))=0,"",SUMPRODUCT((OFFSET($A16,0,1,1,372)&lt;&gt;"")*(IF(OFFSET($A16,0,1,1,372)=$NL$9,0.5,IF(OFFSET($A16,0,1,1,372)=$NL$8,0,1))*(OFFSET($A$9,0,1,1,372)))))</f>
        <v/>
      </c>
      <c r="NP16" s="46"/>
      <c r="NQ16" s="75" t="str">
        <f t="array" aca="1" ref="NQ16" ca="1">IF(SUMPRODUCT((OFFSET($A16,0,1,1,372)&lt;&gt;"")*(OFFSET($A$9,0,1,1,372))*((OFFSET($A16,0,1,1,372))=NL$5))=0,"",SUMPRODUCT((OFFSET($A16,0,1,1,372)&lt;&gt;"")*(OFFSET($A$9,0,1,1,372))*((OFFSET($A16,0,1,1,372))=NL$5)))</f>
        <v/>
      </c>
      <c r="NR16" s="75" t="str">
        <f t="array" aca="1" ref="NR16" ca="1">IF(SUMPRODUCT((OFFSET($A16,0,1,1,372)&lt;&gt;"")*(OFFSET($A$9,0,1,1,372))*((OFFSET($A16,0,1,1,372))=NL$6))=0,"",SUMPRODUCT((OFFSET($A16,0,1,1,372)&lt;&gt;"")*(OFFSET($A$9,0,1,1,372))*((OFFSET($A16,0,1,1,372))=NL$6)))</f>
        <v/>
      </c>
      <c r="NS16" s="75" t="str">
        <f t="array" aca="1" ref="NS16" ca="1">IF(SUMPRODUCT((OFFSET($A16,0,1,1,372)&lt;&gt;"")*(OFFSET($A$9,0,1,1,372))*((OFFSET($A16,0,1,1,372))=NL$7))=0,"",SUMPRODUCT((OFFSET($A16,0,1,1,372)&lt;&gt;"")*(OFFSET($A$9,0,1,1,372))*((OFFSET($A16,0,1,1,372))=NL$7)))</f>
        <v/>
      </c>
      <c r="NT16" s="75" t="str" cm="1">
        <f t="array" aca="1" ref="NT16" ca="1">IF(SUMPRODUCT((OFFSET($A16,0,1,1,372)&lt;&gt;"")*(OFFSET($A$9,0,1,1,372))*((OFFSET($A16,0,1,1,372))=NL$9))=0,"",SUMPRODUCT((OFFSET($A16,0,1,1,372)&lt;&gt;"")*(OFFSET($A$9,0,1,1,372))*((OFFSET($A16,0,1,1,372))=NL$9)))</f>
        <v/>
      </c>
    </row>
    <row r="17" spans="1:396" ht="15.5" x14ac:dyDescent="0.35">
      <c r="A17" s="3" t="s">
        <v>48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33"/>
      <c r="NK17" s="39"/>
      <c r="NL17" s="48"/>
      <c r="NN17" s="76" t="str" cm="1">
        <f t="array" aca="1" ref="NN17" ca="1">IF(SUMPRODUCT((OFFSET($A17,0,31*($A$9-1)+1,1,31)&lt;&gt;"")*(IF(OFFSET($A17,0,31*($A$9-1)+1,1,31)=$NL$9,0.5,IF(OFFSET($A17,0,31*($A$9-1)+1,1,31)=$NL$8,0,1))*(OFFSET($A$9,0,31*($A$9-1)+1,1,31))))=0,"",SUMPRODUCT((OFFSET($A17,0,31*($A$9-1)+1,1,31)&lt;&gt;"")*(IF(OFFSET($A17,0,31*($A$9-1)+1,1,31)=$NL$9,0.5,IF(OFFSET($A17,0,31*($A$9-1)+1,1,31)=$NL$8,0,1))*(OFFSET($A$9,0,31*($A$9-1)+1,1,31)))))</f>
        <v/>
      </c>
      <c r="NO17" s="77" t="str" cm="1">
        <f t="array" aca="1" ref="NO17" ca="1">IF(SUMPRODUCT((OFFSET($A17,0,1,1,372)&lt;&gt;"")*(IF(OFFSET($A17,0,1,1,372)=$NL$9,0.5,IF(OFFSET($A17,0,1,1,372)=$NL$8,0,1))*(OFFSET($A$9,0,1,1,372))))=0,"",SUMPRODUCT((OFFSET($A17,0,1,1,372)&lt;&gt;"")*(IF(OFFSET($A17,0,1,1,372)=$NL$9,0.5,IF(OFFSET($A17,0,1,1,372)=$NL$8,0,1))*(OFFSET($A$9,0,1,1,372)))))</f>
        <v/>
      </c>
      <c r="NP17" s="46"/>
      <c r="NQ17" s="75" t="str">
        <f t="array" aca="1" ref="NQ17" ca="1">IF(SUMPRODUCT((OFFSET($A17,0,1,1,372)&lt;&gt;"")*(OFFSET($A$9,0,1,1,372))*((OFFSET($A17,0,1,1,372))=NL$5))=0,"",SUMPRODUCT((OFFSET($A17,0,1,1,372)&lt;&gt;"")*(OFFSET($A$9,0,1,1,372))*((OFFSET($A17,0,1,1,372))=NL$5)))</f>
        <v/>
      </c>
      <c r="NR17" s="75" t="str">
        <f t="array" aca="1" ref="NR17" ca="1">IF(SUMPRODUCT((OFFSET($A17,0,1,1,372)&lt;&gt;"")*(OFFSET($A$9,0,1,1,372))*((OFFSET($A17,0,1,1,372))=NL$6))=0,"",SUMPRODUCT((OFFSET($A17,0,1,1,372)&lt;&gt;"")*(OFFSET($A$9,0,1,1,372))*((OFFSET($A17,0,1,1,372))=NL$6)))</f>
        <v/>
      </c>
      <c r="NS17" s="75" t="str">
        <f t="array" aca="1" ref="NS17" ca="1">IF(SUMPRODUCT((OFFSET($A17,0,1,1,372)&lt;&gt;"")*(OFFSET($A$9,0,1,1,372))*((OFFSET($A17,0,1,1,372))=NL$7))=0,"",SUMPRODUCT((OFFSET($A17,0,1,1,372)&lt;&gt;"")*(OFFSET($A$9,0,1,1,372))*((OFFSET($A17,0,1,1,372))=NL$7)))</f>
        <v/>
      </c>
      <c r="NT17" s="75" t="str" cm="1">
        <f t="array" aca="1" ref="NT17" ca="1">IF(SUMPRODUCT((OFFSET($A17,0,1,1,372)&lt;&gt;"")*(OFFSET($A$9,0,1,1,372))*((OFFSET($A17,0,1,1,372))=NL$9))=0,"",SUMPRODUCT((OFFSET($A17,0,1,1,372)&lt;&gt;"")*(OFFSET($A$9,0,1,1,372))*((OFFSET($A17,0,1,1,372))=NL$9)))</f>
        <v/>
      </c>
    </row>
    <row r="18" spans="1:396" ht="15.5" x14ac:dyDescent="0.35">
      <c r="A18" s="3" t="s">
        <v>49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33"/>
      <c r="NK18" s="39"/>
      <c r="NL18" s="48"/>
      <c r="NN18" s="76" t="str" cm="1">
        <f t="array" aca="1" ref="NN18" ca="1">IF(SUMPRODUCT((OFFSET($A18,0,31*($A$9-1)+1,1,31)&lt;&gt;"")*(IF(OFFSET($A18,0,31*($A$9-1)+1,1,31)=$NL$9,0.5,IF(OFFSET($A18,0,31*($A$9-1)+1,1,31)=$NL$8,0,1))*(OFFSET($A$9,0,31*($A$9-1)+1,1,31))))=0,"",SUMPRODUCT((OFFSET($A18,0,31*($A$9-1)+1,1,31)&lt;&gt;"")*(IF(OFFSET($A18,0,31*($A$9-1)+1,1,31)=$NL$9,0.5,IF(OFFSET($A18,0,31*($A$9-1)+1,1,31)=$NL$8,0,1))*(OFFSET($A$9,0,31*($A$9-1)+1,1,31)))))</f>
        <v/>
      </c>
      <c r="NO18" s="77" t="str" cm="1">
        <f t="array" aca="1" ref="NO18" ca="1">IF(SUMPRODUCT((OFFSET($A18,0,1,1,372)&lt;&gt;"")*(IF(OFFSET($A18,0,1,1,372)=$NL$9,0.5,IF(OFFSET($A18,0,1,1,372)=$NL$8,0,1))*(OFFSET($A$9,0,1,1,372))))=0,"",SUMPRODUCT((OFFSET($A18,0,1,1,372)&lt;&gt;"")*(IF(OFFSET($A18,0,1,1,372)=$NL$9,0.5,IF(OFFSET($A18,0,1,1,372)=$NL$8,0,1))*(OFFSET($A$9,0,1,1,372)))))</f>
        <v/>
      </c>
      <c r="NP18" s="46"/>
      <c r="NQ18" s="75" t="str">
        <f t="array" aca="1" ref="NQ18" ca="1">IF(SUMPRODUCT((OFFSET($A18,0,1,1,372)&lt;&gt;"")*(OFFSET($A$9,0,1,1,372))*((OFFSET($A18,0,1,1,372))=NL$5))=0,"",SUMPRODUCT((OFFSET($A18,0,1,1,372)&lt;&gt;"")*(OFFSET($A$9,0,1,1,372))*((OFFSET($A18,0,1,1,372))=NL$5)))</f>
        <v/>
      </c>
      <c r="NR18" s="75" t="str">
        <f t="array" aca="1" ref="NR18" ca="1">IF(SUMPRODUCT((OFFSET($A18,0,1,1,372)&lt;&gt;"")*(OFFSET($A$9,0,1,1,372))*((OFFSET($A18,0,1,1,372))=NL$6))=0,"",SUMPRODUCT((OFFSET($A18,0,1,1,372)&lt;&gt;"")*(OFFSET($A$9,0,1,1,372))*((OFFSET($A18,0,1,1,372))=NL$6)))</f>
        <v/>
      </c>
      <c r="NS18" s="75" t="str">
        <f t="array" aca="1" ref="NS18" ca="1">IF(SUMPRODUCT((OFFSET($A18,0,1,1,372)&lt;&gt;"")*(OFFSET($A$9,0,1,1,372))*((OFFSET($A18,0,1,1,372))=NL$7))=0,"",SUMPRODUCT((OFFSET($A18,0,1,1,372)&lt;&gt;"")*(OFFSET($A$9,0,1,1,372))*((OFFSET($A18,0,1,1,372))=NL$7)))</f>
        <v/>
      </c>
      <c r="NT18" s="75" t="str" cm="1">
        <f t="array" aca="1" ref="NT18" ca="1">IF(SUMPRODUCT((OFFSET($A18,0,1,1,372)&lt;&gt;"")*(OFFSET($A$9,0,1,1,372))*((OFFSET($A18,0,1,1,372))=NL$9))=0,"",SUMPRODUCT((OFFSET($A18,0,1,1,372)&lt;&gt;"")*(OFFSET($A$9,0,1,1,372))*((OFFSET($A18,0,1,1,372))=NL$9)))</f>
        <v/>
      </c>
    </row>
    <row r="19" spans="1:396" ht="15.5" x14ac:dyDescent="0.35">
      <c r="A19" s="3" t="s">
        <v>50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33"/>
      <c r="NK19" s="39"/>
      <c r="NL19" s="48"/>
      <c r="NN19" s="76" t="str" cm="1">
        <f t="array" aca="1" ref="NN19" ca="1">IF(SUMPRODUCT((OFFSET($A19,0,31*($A$9-1)+1,1,31)&lt;&gt;"")*(IF(OFFSET($A19,0,31*($A$9-1)+1,1,31)=$NL$9,0.5,IF(OFFSET($A19,0,31*($A$9-1)+1,1,31)=$NL$8,0,1))*(OFFSET($A$9,0,31*($A$9-1)+1,1,31))))=0,"",SUMPRODUCT((OFFSET($A19,0,31*($A$9-1)+1,1,31)&lt;&gt;"")*(IF(OFFSET($A19,0,31*($A$9-1)+1,1,31)=$NL$9,0.5,IF(OFFSET($A19,0,31*($A$9-1)+1,1,31)=$NL$8,0,1))*(OFFSET($A$9,0,31*($A$9-1)+1,1,31)))))</f>
        <v/>
      </c>
      <c r="NO19" s="77" t="str" cm="1">
        <f t="array" aca="1" ref="NO19" ca="1">IF(SUMPRODUCT((OFFSET($A19,0,1,1,372)&lt;&gt;"")*(IF(OFFSET($A19,0,1,1,372)=$NL$9,0.5,IF(OFFSET($A19,0,1,1,372)=$NL$8,0,1))*(OFFSET($A$9,0,1,1,372))))=0,"",SUMPRODUCT((OFFSET($A19,0,1,1,372)&lt;&gt;"")*(IF(OFFSET($A19,0,1,1,372)=$NL$9,0.5,IF(OFFSET($A19,0,1,1,372)=$NL$8,0,1))*(OFFSET($A$9,0,1,1,372)))))</f>
        <v/>
      </c>
      <c r="NP19" s="46"/>
      <c r="NQ19" s="75" t="str">
        <f t="array" aca="1" ref="NQ19" ca="1">IF(SUMPRODUCT((OFFSET($A19,0,1,1,372)&lt;&gt;"")*(OFFSET($A$9,0,1,1,372))*((OFFSET($A19,0,1,1,372))=NL$5))=0,"",SUMPRODUCT((OFFSET($A19,0,1,1,372)&lt;&gt;"")*(OFFSET($A$9,0,1,1,372))*((OFFSET($A19,0,1,1,372))=NL$5)))</f>
        <v/>
      </c>
      <c r="NR19" s="75" t="str">
        <f t="array" aca="1" ref="NR19" ca="1">IF(SUMPRODUCT((OFFSET($A19,0,1,1,372)&lt;&gt;"")*(OFFSET($A$9,0,1,1,372))*((OFFSET($A19,0,1,1,372))=NL$6))=0,"",SUMPRODUCT((OFFSET($A19,0,1,1,372)&lt;&gt;"")*(OFFSET($A$9,0,1,1,372))*((OFFSET($A19,0,1,1,372))=NL$6)))</f>
        <v/>
      </c>
      <c r="NS19" s="75" t="str">
        <f t="array" aca="1" ref="NS19" ca="1">IF(SUMPRODUCT((OFFSET($A19,0,1,1,372)&lt;&gt;"")*(OFFSET($A$9,0,1,1,372))*((OFFSET($A19,0,1,1,372))=NL$7))=0,"",SUMPRODUCT((OFFSET($A19,0,1,1,372)&lt;&gt;"")*(OFFSET($A$9,0,1,1,372))*((OFFSET($A19,0,1,1,372))=NL$7)))</f>
        <v/>
      </c>
      <c r="NT19" s="75" t="str" cm="1">
        <f t="array" aca="1" ref="NT19" ca="1">IF(SUMPRODUCT((OFFSET($A19,0,1,1,372)&lt;&gt;"")*(OFFSET($A$9,0,1,1,372))*((OFFSET($A19,0,1,1,372))=NL$9))=0,"",SUMPRODUCT((OFFSET($A19,0,1,1,372)&lt;&gt;"")*(OFFSET($A$9,0,1,1,372))*((OFFSET($A19,0,1,1,372))=NL$9)))</f>
        <v/>
      </c>
    </row>
    <row r="20" spans="1:396" ht="15.5" x14ac:dyDescent="0.35">
      <c r="A20" s="3" t="s">
        <v>51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33"/>
      <c r="NK20" s="39"/>
      <c r="NL20" s="48"/>
      <c r="NN20" s="76" t="str" cm="1">
        <f t="array" aca="1" ref="NN20" ca="1">IF(SUMPRODUCT((OFFSET($A20,0,31*($A$9-1)+1,1,31)&lt;&gt;"")*(IF(OFFSET($A20,0,31*($A$9-1)+1,1,31)=$NL$9,0.5,IF(OFFSET($A20,0,31*($A$9-1)+1,1,31)=$NL$8,0,1))*(OFFSET($A$9,0,31*($A$9-1)+1,1,31))))=0,"",SUMPRODUCT((OFFSET($A20,0,31*($A$9-1)+1,1,31)&lt;&gt;"")*(IF(OFFSET($A20,0,31*($A$9-1)+1,1,31)=$NL$9,0.5,IF(OFFSET($A20,0,31*($A$9-1)+1,1,31)=$NL$8,0,1))*(OFFSET($A$9,0,31*($A$9-1)+1,1,31)))))</f>
        <v/>
      </c>
      <c r="NO20" s="77" t="str" cm="1">
        <f t="array" aca="1" ref="NO20" ca="1">IF(SUMPRODUCT((OFFSET($A20,0,1,1,372)&lt;&gt;"")*(IF(OFFSET($A20,0,1,1,372)=$NL$9,0.5,IF(OFFSET($A20,0,1,1,372)=$NL$8,0,1))*(OFFSET($A$9,0,1,1,372))))=0,"",SUMPRODUCT((OFFSET($A20,0,1,1,372)&lt;&gt;"")*(IF(OFFSET($A20,0,1,1,372)=$NL$9,0.5,IF(OFFSET($A20,0,1,1,372)=$NL$8,0,1))*(OFFSET($A$9,0,1,1,372)))))</f>
        <v/>
      </c>
      <c r="NP20" s="46"/>
      <c r="NQ20" s="75" t="str">
        <f t="array" aca="1" ref="NQ20" ca="1">IF(SUMPRODUCT((OFFSET($A20,0,1,1,372)&lt;&gt;"")*(OFFSET($A$9,0,1,1,372))*((OFFSET($A20,0,1,1,372))=NL$5))=0,"",SUMPRODUCT((OFFSET($A20,0,1,1,372)&lt;&gt;"")*(OFFSET($A$9,0,1,1,372))*((OFFSET($A20,0,1,1,372))=NL$5)))</f>
        <v/>
      </c>
      <c r="NR20" s="75" t="str">
        <f t="array" aca="1" ref="NR20" ca="1">IF(SUMPRODUCT((OFFSET($A20,0,1,1,372)&lt;&gt;"")*(OFFSET($A$9,0,1,1,372))*((OFFSET($A20,0,1,1,372))=NL$6))=0,"",SUMPRODUCT((OFFSET($A20,0,1,1,372)&lt;&gt;"")*(OFFSET($A$9,0,1,1,372))*((OFFSET($A20,0,1,1,372))=NL$6)))</f>
        <v/>
      </c>
      <c r="NS20" s="75" t="str">
        <f t="array" aca="1" ref="NS20" ca="1">IF(SUMPRODUCT((OFFSET($A20,0,1,1,372)&lt;&gt;"")*(OFFSET($A$9,0,1,1,372))*((OFFSET($A20,0,1,1,372))=NL$7))=0,"",SUMPRODUCT((OFFSET($A20,0,1,1,372)&lt;&gt;"")*(OFFSET($A$9,0,1,1,372))*((OFFSET($A20,0,1,1,372))=NL$7)))</f>
        <v/>
      </c>
      <c r="NT20" s="75" t="str" cm="1">
        <f t="array" aca="1" ref="NT20" ca="1">IF(SUMPRODUCT((OFFSET($A20,0,1,1,372)&lt;&gt;"")*(OFFSET($A$9,0,1,1,372))*((OFFSET($A20,0,1,1,372))=NL$9))=0,"",SUMPRODUCT((OFFSET($A20,0,1,1,372)&lt;&gt;"")*(OFFSET($A$9,0,1,1,372))*((OFFSET($A20,0,1,1,372))=NL$9)))</f>
        <v/>
      </c>
    </row>
    <row r="21" spans="1:396" ht="15.5" x14ac:dyDescent="0.35">
      <c r="A21" s="3" t="s">
        <v>52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33"/>
      <c r="NK21" s="39"/>
      <c r="NL21" s="48"/>
      <c r="NN21" s="76" t="str" cm="1">
        <f t="array" aca="1" ref="NN21" ca="1">IF(SUMPRODUCT((OFFSET($A21,0,31*($A$9-1)+1,1,31)&lt;&gt;"")*(IF(OFFSET($A21,0,31*($A$9-1)+1,1,31)=$NL$9,0.5,IF(OFFSET($A21,0,31*($A$9-1)+1,1,31)=$NL$8,0,1))*(OFFSET($A$9,0,31*($A$9-1)+1,1,31))))=0,"",SUMPRODUCT((OFFSET($A21,0,31*($A$9-1)+1,1,31)&lt;&gt;"")*(IF(OFFSET($A21,0,31*($A$9-1)+1,1,31)=$NL$9,0.5,IF(OFFSET($A21,0,31*($A$9-1)+1,1,31)=$NL$8,0,1))*(OFFSET($A$9,0,31*($A$9-1)+1,1,31)))))</f>
        <v/>
      </c>
      <c r="NO21" s="77" t="str" cm="1">
        <f t="array" aca="1" ref="NO21" ca="1">IF(SUMPRODUCT((OFFSET($A21,0,1,1,372)&lt;&gt;"")*(IF(OFFSET($A21,0,1,1,372)=$NL$9,0.5,IF(OFFSET($A21,0,1,1,372)=$NL$8,0,1))*(OFFSET($A$9,0,1,1,372))))=0,"",SUMPRODUCT((OFFSET($A21,0,1,1,372)&lt;&gt;"")*(IF(OFFSET($A21,0,1,1,372)=$NL$9,0.5,IF(OFFSET($A21,0,1,1,372)=$NL$8,0,1))*(OFFSET($A$9,0,1,1,372)))))</f>
        <v/>
      </c>
      <c r="NP21" s="46"/>
      <c r="NQ21" s="75" t="str">
        <f t="array" aca="1" ref="NQ21" ca="1">IF(SUMPRODUCT((OFFSET($A21,0,1,1,372)&lt;&gt;"")*(OFFSET($A$9,0,1,1,372))*((OFFSET($A21,0,1,1,372))=NL$5))=0,"",SUMPRODUCT((OFFSET($A21,0,1,1,372)&lt;&gt;"")*(OFFSET($A$9,0,1,1,372))*((OFFSET($A21,0,1,1,372))=NL$5)))</f>
        <v/>
      </c>
      <c r="NR21" s="75" t="str">
        <f t="array" aca="1" ref="NR21" ca="1">IF(SUMPRODUCT((OFFSET($A21,0,1,1,372)&lt;&gt;"")*(OFFSET($A$9,0,1,1,372))*((OFFSET($A21,0,1,1,372))=NL$6))=0,"",SUMPRODUCT((OFFSET($A21,0,1,1,372)&lt;&gt;"")*(OFFSET($A$9,0,1,1,372))*((OFFSET($A21,0,1,1,372))=NL$6)))</f>
        <v/>
      </c>
      <c r="NS21" s="75" t="str">
        <f t="array" aca="1" ref="NS21" ca="1">IF(SUMPRODUCT((OFFSET($A21,0,1,1,372)&lt;&gt;"")*(OFFSET($A$9,0,1,1,372))*((OFFSET($A21,0,1,1,372))=NL$7))=0,"",SUMPRODUCT((OFFSET($A21,0,1,1,372)&lt;&gt;"")*(OFFSET($A$9,0,1,1,372))*((OFFSET($A21,0,1,1,372))=NL$7)))</f>
        <v/>
      </c>
      <c r="NT21" s="75" t="str" cm="1">
        <f t="array" aca="1" ref="NT21" ca="1">IF(SUMPRODUCT((OFFSET($A21,0,1,1,372)&lt;&gt;"")*(OFFSET($A$9,0,1,1,372))*((OFFSET($A21,0,1,1,372))=NL$9))=0,"",SUMPRODUCT((OFFSET($A21,0,1,1,372)&lt;&gt;"")*(OFFSET($A$9,0,1,1,372))*((OFFSET($A21,0,1,1,372))=NL$9)))</f>
        <v/>
      </c>
    </row>
    <row r="22" spans="1:396" ht="15.5" x14ac:dyDescent="0.35">
      <c r="A22" s="3" t="s">
        <v>53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33"/>
      <c r="NK22" s="39"/>
      <c r="NL22" s="48"/>
      <c r="NN22" s="76" t="str" cm="1">
        <f t="array" aca="1" ref="NN22" ca="1">IF(SUMPRODUCT((OFFSET($A22,0,31*($A$9-1)+1,1,31)&lt;&gt;"")*(IF(OFFSET($A22,0,31*($A$9-1)+1,1,31)=$NL$9,0.5,IF(OFFSET($A22,0,31*($A$9-1)+1,1,31)=$NL$8,0,1))*(OFFSET($A$9,0,31*($A$9-1)+1,1,31))))=0,"",SUMPRODUCT((OFFSET($A22,0,31*($A$9-1)+1,1,31)&lt;&gt;"")*(IF(OFFSET($A22,0,31*($A$9-1)+1,1,31)=$NL$9,0.5,IF(OFFSET($A22,0,31*($A$9-1)+1,1,31)=$NL$8,0,1))*(OFFSET($A$9,0,31*($A$9-1)+1,1,31)))))</f>
        <v/>
      </c>
      <c r="NO22" s="77" t="str" cm="1">
        <f t="array" aca="1" ref="NO22" ca="1">IF(SUMPRODUCT((OFFSET($A22,0,1,1,372)&lt;&gt;"")*(IF(OFFSET($A22,0,1,1,372)=$NL$9,0.5,IF(OFFSET($A22,0,1,1,372)=$NL$8,0,1))*(OFFSET($A$9,0,1,1,372))))=0,"",SUMPRODUCT((OFFSET($A22,0,1,1,372)&lt;&gt;"")*(IF(OFFSET($A22,0,1,1,372)=$NL$9,0.5,IF(OFFSET($A22,0,1,1,372)=$NL$8,0,1))*(OFFSET($A$9,0,1,1,372)))))</f>
        <v/>
      </c>
      <c r="NP22" s="46"/>
      <c r="NQ22" s="75" t="str">
        <f t="array" aca="1" ref="NQ22" ca="1">IF(SUMPRODUCT((OFFSET($A22,0,1,1,372)&lt;&gt;"")*(OFFSET($A$9,0,1,1,372))*((OFFSET($A22,0,1,1,372))=NL$5))=0,"",SUMPRODUCT((OFFSET($A22,0,1,1,372)&lt;&gt;"")*(OFFSET($A$9,0,1,1,372))*((OFFSET($A22,0,1,1,372))=NL$5)))</f>
        <v/>
      </c>
      <c r="NR22" s="75" t="str">
        <f t="array" aca="1" ref="NR22" ca="1">IF(SUMPRODUCT((OFFSET($A22,0,1,1,372)&lt;&gt;"")*(OFFSET($A$9,0,1,1,372))*((OFFSET($A22,0,1,1,372))=NL$6))=0,"",SUMPRODUCT((OFFSET($A22,0,1,1,372)&lt;&gt;"")*(OFFSET($A$9,0,1,1,372))*((OFFSET($A22,0,1,1,372))=NL$6)))</f>
        <v/>
      </c>
      <c r="NS22" s="75" t="str">
        <f t="array" aca="1" ref="NS22" ca="1">IF(SUMPRODUCT((OFFSET($A22,0,1,1,372)&lt;&gt;"")*(OFFSET($A$9,0,1,1,372))*((OFFSET($A22,0,1,1,372))=NL$7))=0,"",SUMPRODUCT((OFFSET($A22,0,1,1,372)&lt;&gt;"")*(OFFSET($A$9,0,1,1,372))*((OFFSET($A22,0,1,1,372))=NL$7)))</f>
        <v/>
      </c>
      <c r="NT22" s="75" t="str" cm="1">
        <f t="array" aca="1" ref="NT22" ca="1">IF(SUMPRODUCT((OFFSET($A22,0,1,1,372)&lt;&gt;"")*(OFFSET($A$9,0,1,1,372))*((OFFSET($A22,0,1,1,372))=NL$9))=0,"",SUMPRODUCT((OFFSET($A22,0,1,1,372)&lt;&gt;"")*(OFFSET($A$9,0,1,1,372))*((OFFSET($A22,0,1,1,372))=NL$9)))</f>
        <v/>
      </c>
    </row>
    <row r="23" spans="1:396" ht="15.5" x14ac:dyDescent="0.35">
      <c r="A23" s="3" t="s">
        <v>54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33"/>
      <c r="NK23" s="39"/>
      <c r="NL23" s="48"/>
      <c r="NN23" s="76" t="str" cm="1">
        <f t="array" aca="1" ref="NN23" ca="1">IF(SUMPRODUCT((OFFSET($A23,0,31*($A$9-1)+1,1,31)&lt;&gt;"")*(IF(OFFSET($A23,0,31*($A$9-1)+1,1,31)=$NL$9,0.5,IF(OFFSET($A23,0,31*($A$9-1)+1,1,31)=$NL$8,0,1))*(OFFSET($A$9,0,31*($A$9-1)+1,1,31))))=0,"",SUMPRODUCT((OFFSET($A23,0,31*($A$9-1)+1,1,31)&lt;&gt;"")*(IF(OFFSET($A23,0,31*($A$9-1)+1,1,31)=$NL$9,0.5,IF(OFFSET($A23,0,31*($A$9-1)+1,1,31)=$NL$8,0,1))*(OFFSET($A$9,0,31*($A$9-1)+1,1,31)))))</f>
        <v/>
      </c>
      <c r="NO23" s="77" t="str" cm="1">
        <f t="array" aca="1" ref="NO23" ca="1">IF(SUMPRODUCT((OFFSET($A23,0,1,1,372)&lt;&gt;"")*(IF(OFFSET($A23,0,1,1,372)=$NL$9,0.5,IF(OFFSET($A23,0,1,1,372)=$NL$8,0,1))*(OFFSET($A$9,0,1,1,372))))=0,"",SUMPRODUCT((OFFSET($A23,0,1,1,372)&lt;&gt;"")*(IF(OFFSET($A23,0,1,1,372)=$NL$9,0.5,IF(OFFSET($A23,0,1,1,372)=$NL$8,0,1))*(OFFSET($A$9,0,1,1,372)))))</f>
        <v/>
      </c>
      <c r="NP23" s="46"/>
      <c r="NQ23" s="75" t="str">
        <f t="array" aca="1" ref="NQ23" ca="1">IF(SUMPRODUCT((OFFSET($A23,0,1,1,372)&lt;&gt;"")*(OFFSET($A$9,0,1,1,372))*((OFFSET($A23,0,1,1,372))=NL$5))=0,"",SUMPRODUCT((OFFSET($A23,0,1,1,372)&lt;&gt;"")*(OFFSET($A$9,0,1,1,372))*((OFFSET($A23,0,1,1,372))=NL$5)))</f>
        <v/>
      </c>
      <c r="NR23" s="75" t="str">
        <f t="array" aca="1" ref="NR23" ca="1">IF(SUMPRODUCT((OFFSET($A23,0,1,1,372)&lt;&gt;"")*(OFFSET($A$9,0,1,1,372))*((OFFSET($A23,0,1,1,372))=NL$6))=0,"",SUMPRODUCT((OFFSET($A23,0,1,1,372)&lt;&gt;"")*(OFFSET($A$9,0,1,1,372))*((OFFSET($A23,0,1,1,372))=NL$6)))</f>
        <v/>
      </c>
      <c r="NS23" s="75" t="str">
        <f t="array" aca="1" ref="NS23" ca="1">IF(SUMPRODUCT((OFFSET($A23,0,1,1,372)&lt;&gt;"")*(OFFSET($A$9,0,1,1,372))*((OFFSET($A23,0,1,1,372))=NL$7))=0,"",SUMPRODUCT((OFFSET($A23,0,1,1,372)&lt;&gt;"")*(OFFSET($A$9,0,1,1,372))*((OFFSET($A23,0,1,1,372))=NL$7)))</f>
        <v/>
      </c>
      <c r="NT23" s="75" t="str" cm="1">
        <f t="array" aca="1" ref="NT23" ca="1">IF(SUMPRODUCT((OFFSET($A23,0,1,1,372)&lt;&gt;"")*(OFFSET($A$9,0,1,1,372))*((OFFSET($A23,0,1,1,372))=NL$9))=0,"",SUMPRODUCT((OFFSET($A23,0,1,1,372)&lt;&gt;"")*(OFFSET($A$9,0,1,1,372))*((OFFSET($A23,0,1,1,372))=NL$9)))</f>
        <v/>
      </c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8"/>
    </row>
    <row r="24" spans="1:396" ht="15.5" x14ac:dyDescent="0.35">
      <c r="A24" s="3" t="s">
        <v>55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33"/>
      <c r="NK24" s="39"/>
      <c r="NL24" s="48"/>
      <c r="NN24" s="76" t="str" cm="1">
        <f t="array" aca="1" ref="NN24" ca="1">IF(SUMPRODUCT((OFFSET($A24,0,31*($A$9-1)+1,1,31)&lt;&gt;"")*(IF(OFFSET($A24,0,31*($A$9-1)+1,1,31)=$NL$9,0.5,IF(OFFSET($A24,0,31*($A$9-1)+1,1,31)=$NL$8,0,1))*(OFFSET($A$9,0,31*($A$9-1)+1,1,31))))=0,"",SUMPRODUCT((OFFSET($A24,0,31*($A$9-1)+1,1,31)&lt;&gt;"")*(IF(OFFSET($A24,0,31*($A$9-1)+1,1,31)=$NL$9,0.5,IF(OFFSET($A24,0,31*($A$9-1)+1,1,31)=$NL$8,0,1))*(OFFSET($A$9,0,31*($A$9-1)+1,1,31)))))</f>
        <v/>
      </c>
      <c r="NO24" s="77" t="str" cm="1">
        <f t="array" aca="1" ref="NO24" ca="1">IF(SUMPRODUCT((OFFSET($A24,0,1,1,372)&lt;&gt;"")*(IF(OFFSET($A24,0,1,1,372)=$NL$9,0.5,IF(OFFSET($A24,0,1,1,372)=$NL$8,0,1))*(OFFSET($A$9,0,1,1,372))))=0,"",SUMPRODUCT((OFFSET($A24,0,1,1,372)&lt;&gt;"")*(IF(OFFSET($A24,0,1,1,372)=$NL$9,0.5,IF(OFFSET($A24,0,1,1,372)=$NL$8,0,1))*(OFFSET($A$9,0,1,1,372)))))</f>
        <v/>
      </c>
      <c r="NP24" s="46"/>
      <c r="NQ24" s="75" t="str">
        <f t="array" aca="1" ref="NQ24" ca="1">IF(SUMPRODUCT((OFFSET($A24,0,1,1,372)&lt;&gt;"")*(OFFSET($A$9,0,1,1,372))*((OFFSET($A24,0,1,1,372))=NL$5))=0,"",SUMPRODUCT((OFFSET($A24,0,1,1,372)&lt;&gt;"")*(OFFSET($A$9,0,1,1,372))*((OFFSET($A24,0,1,1,372))=NL$5)))</f>
        <v/>
      </c>
      <c r="NR24" s="75" t="str">
        <f t="array" aca="1" ref="NR24" ca="1">IF(SUMPRODUCT((OFFSET($A24,0,1,1,372)&lt;&gt;"")*(OFFSET($A$9,0,1,1,372))*((OFFSET($A24,0,1,1,372))=NL$6))=0,"",SUMPRODUCT((OFFSET($A24,0,1,1,372)&lt;&gt;"")*(OFFSET($A$9,0,1,1,372))*((OFFSET($A24,0,1,1,372))=NL$6)))</f>
        <v/>
      </c>
      <c r="NS24" s="75" t="str">
        <f t="array" aca="1" ref="NS24" ca="1">IF(SUMPRODUCT((OFFSET($A24,0,1,1,372)&lt;&gt;"")*(OFFSET($A$9,0,1,1,372))*((OFFSET($A24,0,1,1,372))=NL$7))=0,"",SUMPRODUCT((OFFSET($A24,0,1,1,372)&lt;&gt;"")*(OFFSET($A$9,0,1,1,372))*((OFFSET($A24,0,1,1,372))=NL$7)))</f>
        <v/>
      </c>
      <c r="NT24" s="75" t="str" cm="1">
        <f t="array" aca="1" ref="NT24" ca="1">IF(SUMPRODUCT((OFFSET($A24,0,1,1,372)&lt;&gt;"")*(OFFSET($A$9,0,1,1,372))*((OFFSET($A24,0,1,1,372))=NL$9))=0,"",SUMPRODUCT((OFFSET($A24,0,1,1,372)&lt;&gt;"")*(OFFSET($A$9,0,1,1,372))*((OFFSET($A24,0,1,1,372))=NL$9)))</f>
        <v/>
      </c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8"/>
    </row>
    <row r="25" spans="1:396" ht="15.5" x14ac:dyDescent="0.35">
      <c r="A25" s="3" t="s">
        <v>56</v>
      </c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33"/>
      <c r="NK25" s="39"/>
      <c r="NL25" s="48"/>
      <c r="NN25" s="76" t="str" cm="1">
        <f t="array" aca="1" ref="NN25" ca="1">IF(SUMPRODUCT((OFFSET($A25,0,31*($A$9-1)+1,1,31)&lt;&gt;"")*(IF(OFFSET($A25,0,31*($A$9-1)+1,1,31)=$NL$9,0.5,IF(OFFSET($A25,0,31*($A$9-1)+1,1,31)=$NL$8,0,1))*(OFFSET($A$9,0,31*($A$9-1)+1,1,31))))=0,"",SUMPRODUCT((OFFSET($A25,0,31*($A$9-1)+1,1,31)&lt;&gt;"")*(IF(OFFSET($A25,0,31*($A$9-1)+1,1,31)=$NL$9,0.5,IF(OFFSET($A25,0,31*($A$9-1)+1,1,31)=$NL$8,0,1))*(OFFSET($A$9,0,31*($A$9-1)+1,1,31)))))</f>
        <v/>
      </c>
      <c r="NO25" s="77" t="str" cm="1">
        <f t="array" aca="1" ref="NO25" ca="1">IF(SUMPRODUCT((OFFSET($A25,0,1,1,372)&lt;&gt;"")*(IF(OFFSET($A25,0,1,1,372)=$NL$9,0.5,IF(OFFSET($A25,0,1,1,372)=$NL$8,0,1))*(OFFSET($A$9,0,1,1,372))))=0,"",SUMPRODUCT((OFFSET($A25,0,1,1,372)&lt;&gt;"")*(IF(OFFSET($A25,0,1,1,372)=$NL$9,0.5,IF(OFFSET($A25,0,1,1,372)=$NL$8,0,1))*(OFFSET($A$9,0,1,1,372)))))</f>
        <v/>
      </c>
      <c r="NP25" s="46"/>
      <c r="NQ25" s="75" t="str">
        <f t="array" aca="1" ref="NQ25" ca="1">IF(SUMPRODUCT((OFFSET($A25,0,1,1,372)&lt;&gt;"")*(OFFSET($A$9,0,1,1,372))*((OFFSET($A25,0,1,1,372))=NL$5))=0,"",SUMPRODUCT((OFFSET($A25,0,1,1,372)&lt;&gt;"")*(OFFSET($A$9,0,1,1,372))*((OFFSET($A25,0,1,1,372))=NL$5)))</f>
        <v/>
      </c>
      <c r="NR25" s="75" t="str">
        <f t="array" aca="1" ref="NR25" ca="1">IF(SUMPRODUCT((OFFSET($A25,0,1,1,372)&lt;&gt;"")*(OFFSET($A$9,0,1,1,372))*((OFFSET($A25,0,1,1,372))=NL$6))=0,"",SUMPRODUCT((OFFSET($A25,0,1,1,372)&lt;&gt;"")*(OFFSET($A$9,0,1,1,372))*((OFFSET($A25,0,1,1,372))=NL$6)))</f>
        <v/>
      </c>
      <c r="NS25" s="75" t="str">
        <f t="array" aca="1" ref="NS25" ca="1">IF(SUMPRODUCT((OFFSET($A25,0,1,1,372)&lt;&gt;"")*(OFFSET($A$9,0,1,1,372))*((OFFSET($A25,0,1,1,372))=NL$7))=0,"",SUMPRODUCT((OFFSET($A25,0,1,1,372)&lt;&gt;"")*(OFFSET($A$9,0,1,1,372))*((OFFSET($A25,0,1,1,372))=NL$7)))</f>
        <v/>
      </c>
      <c r="NT25" s="75" t="str" cm="1">
        <f t="array" aca="1" ref="NT25" ca="1">IF(SUMPRODUCT((OFFSET($A25,0,1,1,372)&lt;&gt;"")*(OFFSET($A$9,0,1,1,372))*((OFFSET($A25,0,1,1,372))=NL$9))=0,"",SUMPRODUCT((OFFSET($A25,0,1,1,372)&lt;&gt;"")*(OFFSET($A$9,0,1,1,372))*((OFFSET($A25,0,1,1,372))=NL$9)))</f>
        <v/>
      </c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8"/>
    </row>
    <row r="26" spans="1:396" ht="15.5" x14ac:dyDescent="0.35">
      <c r="A26" s="3" t="s">
        <v>57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33"/>
      <c r="NK26" s="39"/>
      <c r="NL26" s="48"/>
      <c r="NN26" s="76" t="str" cm="1">
        <f t="array" aca="1" ref="NN26" ca="1">IF(SUMPRODUCT((OFFSET($A26,0,31*($A$9-1)+1,1,31)&lt;&gt;"")*(IF(OFFSET($A26,0,31*($A$9-1)+1,1,31)=$NL$9,0.5,IF(OFFSET($A26,0,31*($A$9-1)+1,1,31)=$NL$8,0,1))*(OFFSET($A$9,0,31*($A$9-1)+1,1,31))))=0,"",SUMPRODUCT((OFFSET($A26,0,31*($A$9-1)+1,1,31)&lt;&gt;"")*(IF(OFFSET($A26,0,31*($A$9-1)+1,1,31)=$NL$9,0.5,IF(OFFSET($A26,0,31*($A$9-1)+1,1,31)=$NL$8,0,1))*(OFFSET($A$9,0,31*($A$9-1)+1,1,31)))))</f>
        <v/>
      </c>
      <c r="NO26" s="77" t="str" cm="1">
        <f t="array" aca="1" ref="NO26" ca="1">IF(SUMPRODUCT((OFFSET($A26,0,1,1,372)&lt;&gt;"")*(IF(OFFSET($A26,0,1,1,372)=$NL$9,0.5,IF(OFFSET($A26,0,1,1,372)=$NL$8,0,1))*(OFFSET($A$9,0,1,1,372))))=0,"",SUMPRODUCT((OFFSET($A26,0,1,1,372)&lt;&gt;"")*(IF(OFFSET($A26,0,1,1,372)=$NL$9,0.5,IF(OFFSET($A26,0,1,1,372)=$NL$8,0,1))*(OFFSET($A$9,0,1,1,372)))))</f>
        <v/>
      </c>
      <c r="NP26" s="46"/>
      <c r="NQ26" s="75" t="str">
        <f t="array" aca="1" ref="NQ26" ca="1">IF(SUMPRODUCT((OFFSET($A26,0,1,1,372)&lt;&gt;"")*(OFFSET($A$9,0,1,1,372))*((OFFSET($A26,0,1,1,372))=NL$5))=0,"",SUMPRODUCT((OFFSET($A26,0,1,1,372)&lt;&gt;"")*(OFFSET($A$9,0,1,1,372))*((OFFSET($A26,0,1,1,372))=NL$5)))</f>
        <v/>
      </c>
      <c r="NR26" s="75" t="str">
        <f t="array" aca="1" ref="NR26" ca="1">IF(SUMPRODUCT((OFFSET($A26,0,1,1,372)&lt;&gt;"")*(OFFSET($A$9,0,1,1,372))*((OFFSET($A26,0,1,1,372))=NL$6))=0,"",SUMPRODUCT((OFFSET($A26,0,1,1,372)&lt;&gt;"")*(OFFSET($A$9,0,1,1,372))*((OFFSET($A26,0,1,1,372))=NL$6)))</f>
        <v/>
      </c>
      <c r="NS26" s="75" t="str">
        <f t="array" aca="1" ref="NS26" ca="1">IF(SUMPRODUCT((OFFSET($A26,0,1,1,372)&lt;&gt;"")*(OFFSET($A$9,0,1,1,372))*((OFFSET($A26,0,1,1,372))=NL$7))=0,"",SUMPRODUCT((OFFSET($A26,0,1,1,372)&lt;&gt;"")*(OFFSET($A$9,0,1,1,372))*((OFFSET($A26,0,1,1,372))=NL$7)))</f>
        <v/>
      </c>
      <c r="NT26" s="75" t="str" cm="1">
        <f t="array" aca="1" ref="NT26" ca="1">IF(SUMPRODUCT((OFFSET($A26,0,1,1,372)&lt;&gt;"")*(OFFSET($A$9,0,1,1,372))*((OFFSET($A26,0,1,1,372))=NL$9))=0,"",SUMPRODUCT((OFFSET($A26,0,1,1,372)&lt;&gt;"")*(OFFSET($A$9,0,1,1,372))*((OFFSET($A26,0,1,1,372))=NL$9)))</f>
        <v/>
      </c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8"/>
    </row>
    <row r="27" spans="1:396" ht="15.5" x14ac:dyDescent="0.35">
      <c r="A27" s="3" t="s">
        <v>58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33"/>
      <c r="NK27" s="39"/>
      <c r="NL27" s="48"/>
      <c r="NN27" s="76" t="str" cm="1">
        <f t="array" aca="1" ref="NN27" ca="1">IF(SUMPRODUCT((OFFSET($A27,0,31*($A$9-1)+1,1,31)&lt;&gt;"")*(IF(OFFSET($A27,0,31*($A$9-1)+1,1,31)=$NL$9,0.5,IF(OFFSET($A27,0,31*($A$9-1)+1,1,31)=$NL$8,0,1))*(OFFSET($A$9,0,31*($A$9-1)+1,1,31))))=0,"",SUMPRODUCT((OFFSET($A27,0,31*($A$9-1)+1,1,31)&lt;&gt;"")*(IF(OFFSET($A27,0,31*($A$9-1)+1,1,31)=$NL$9,0.5,IF(OFFSET($A27,0,31*($A$9-1)+1,1,31)=$NL$8,0,1))*(OFFSET($A$9,0,31*($A$9-1)+1,1,31)))))</f>
        <v/>
      </c>
      <c r="NO27" s="77" t="str" cm="1">
        <f t="array" aca="1" ref="NO27" ca="1">IF(SUMPRODUCT((OFFSET($A27,0,1,1,372)&lt;&gt;"")*(IF(OFFSET($A27,0,1,1,372)=$NL$9,0.5,IF(OFFSET($A27,0,1,1,372)=$NL$8,0,1))*(OFFSET($A$9,0,1,1,372))))=0,"",SUMPRODUCT((OFFSET($A27,0,1,1,372)&lt;&gt;"")*(IF(OFFSET($A27,0,1,1,372)=$NL$9,0.5,IF(OFFSET($A27,0,1,1,372)=$NL$8,0,1))*(OFFSET($A$9,0,1,1,372)))))</f>
        <v/>
      </c>
      <c r="NP27" s="46"/>
      <c r="NQ27" s="75" t="str">
        <f t="array" aca="1" ref="NQ27" ca="1">IF(SUMPRODUCT((OFFSET($A27,0,1,1,372)&lt;&gt;"")*(OFFSET($A$9,0,1,1,372))*((OFFSET($A27,0,1,1,372))=NL$5))=0,"",SUMPRODUCT((OFFSET($A27,0,1,1,372)&lt;&gt;"")*(OFFSET($A$9,0,1,1,372))*((OFFSET($A27,0,1,1,372))=NL$5)))</f>
        <v/>
      </c>
      <c r="NR27" s="75" t="str">
        <f t="array" aca="1" ref="NR27" ca="1">IF(SUMPRODUCT((OFFSET($A27,0,1,1,372)&lt;&gt;"")*(OFFSET($A$9,0,1,1,372))*((OFFSET($A27,0,1,1,372))=NL$6))=0,"",SUMPRODUCT((OFFSET($A27,0,1,1,372)&lt;&gt;"")*(OFFSET($A$9,0,1,1,372))*((OFFSET($A27,0,1,1,372))=NL$6)))</f>
        <v/>
      </c>
      <c r="NS27" s="75" t="str">
        <f t="array" aca="1" ref="NS27" ca="1">IF(SUMPRODUCT((OFFSET($A27,0,1,1,372)&lt;&gt;"")*(OFFSET($A$9,0,1,1,372))*((OFFSET($A27,0,1,1,372))=NL$7))=0,"",SUMPRODUCT((OFFSET($A27,0,1,1,372)&lt;&gt;"")*(OFFSET($A$9,0,1,1,372))*((OFFSET($A27,0,1,1,372))=NL$7)))</f>
        <v/>
      </c>
      <c r="NT27" s="75" t="str" cm="1">
        <f t="array" aca="1" ref="NT27" ca="1">IF(SUMPRODUCT((OFFSET($A27,0,1,1,372)&lt;&gt;"")*(OFFSET($A$9,0,1,1,372))*((OFFSET($A27,0,1,1,372))=NL$9))=0,"",SUMPRODUCT((OFFSET($A27,0,1,1,372)&lt;&gt;"")*(OFFSET($A$9,0,1,1,372))*((OFFSET($A27,0,1,1,372))=NL$9)))</f>
        <v/>
      </c>
    </row>
    <row r="28" spans="1:396" ht="15.5" x14ac:dyDescent="0.35">
      <c r="A28" s="3" t="s">
        <v>59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33"/>
      <c r="NK28" s="39"/>
      <c r="NL28" s="48"/>
      <c r="NN28" s="76" t="str" cm="1">
        <f t="array" aca="1" ref="NN28" ca="1">IF(SUMPRODUCT((OFFSET($A28,0,31*($A$9-1)+1,1,31)&lt;&gt;"")*(IF(OFFSET($A28,0,31*($A$9-1)+1,1,31)=$NL$9,0.5,IF(OFFSET($A28,0,31*($A$9-1)+1,1,31)=$NL$8,0,1))*(OFFSET($A$9,0,31*($A$9-1)+1,1,31))))=0,"",SUMPRODUCT((OFFSET($A28,0,31*($A$9-1)+1,1,31)&lt;&gt;"")*(IF(OFFSET($A28,0,31*($A$9-1)+1,1,31)=$NL$9,0.5,IF(OFFSET($A28,0,31*($A$9-1)+1,1,31)=$NL$8,0,1))*(OFFSET($A$9,0,31*($A$9-1)+1,1,31)))))</f>
        <v/>
      </c>
      <c r="NO28" s="77" t="str" cm="1">
        <f t="array" aca="1" ref="NO28" ca="1">IF(SUMPRODUCT((OFFSET($A28,0,1,1,372)&lt;&gt;"")*(IF(OFFSET($A28,0,1,1,372)=$NL$9,0.5,IF(OFFSET($A28,0,1,1,372)=$NL$8,0,1))*(OFFSET($A$9,0,1,1,372))))=0,"",SUMPRODUCT((OFFSET($A28,0,1,1,372)&lt;&gt;"")*(IF(OFFSET($A28,0,1,1,372)=$NL$9,0.5,IF(OFFSET($A28,0,1,1,372)=$NL$8,0,1))*(OFFSET($A$9,0,1,1,372)))))</f>
        <v/>
      </c>
      <c r="NP28" s="46"/>
      <c r="NQ28" s="75" t="str">
        <f t="array" aca="1" ref="NQ28" ca="1">IF(SUMPRODUCT((OFFSET($A28,0,1,1,372)&lt;&gt;"")*(OFFSET($A$9,0,1,1,372))*((OFFSET($A28,0,1,1,372))=NL$5))=0,"",SUMPRODUCT((OFFSET($A28,0,1,1,372)&lt;&gt;"")*(OFFSET($A$9,0,1,1,372))*((OFFSET($A28,0,1,1,372))=NL$5)))</f>
        <v/>
      </c>
      <c r="NR28" s="75" t="str">
        <f t="array" aca="1" ref="NR28" ca="1">IF(SUMPRODUCT((OFFSET($A28,0,1,1,372)&lt;&gt;"")*(OFFSET($A$9,0,1,1,372))*((OFFSET($A28,0,1,1,372))=NL$6))=0,"",SUMPRODUCT((OFFSET($A28,0,1,1,372)&lt;&gt;"")*(OFFSET($A$9,0,1,1,372))*((OFFSET($A28,0,1,1,372))=NL$6)))</f>
        <v/>
      </c>
      <c r="NS28" s="75" t="str">
        <f t="array" aca="1" ref="NS28" ca="1">IF(SUMPRODUCT((OFFSET($A28,0,1,1,372)&lt;&gt;"")*(OFFSET($A$9,0,1,1,372))*((OFFSET($A28,0,1,1,372))=NL$7))=0,"",SUMPRODUCT((OFFSET($A28,0,1,1,372)&lt;&gt;"")*(OFFSET($A$9,0,1,1,372))*((OFFSET($A28,0,1,1,372))=NL$7)))</f>
        <v/>
      </c>
      <c r="NT28" s="75" t="str" cm="1">
        <f t="array" aca="1" ref="NT28" ca="1">IF(SUMPRODUCT((OFFSET($A28,0,1,1,372)&lt;&gt;"")*(OFFSET($A$9,0,1,1,372))*((OFFSET($A28,0,1,1,372))=NL$9))=0,"",SUMPRODUCT((OFFSET($A28,0,1,1,372)&lt;&gt;"")*(OFFSET($A$9,0,1,1,372))*((OFFSET($A28,0,1,1,372))=NL$9)))</f>
        <v/>
      </c>
    </row>
    <row r="29" spans="1:396" ht="15.5" x14ac:dyDescent="0.35">
      <c r="A29" s="3" t="s">
        <v>60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33"/>
      <c r="NK29" s="39"/>
      <c r="NL29" s="48"/>
      <c r="NN29" s="76" t="str" cm="1">
        <f t="array" aca="1" ref="NN29" ca="1">IF(SUMPRODUCT((OFFSET($A29,0,31*($A$9-1)+1,1,31)&lt;&gt;"")*(IF(OFFSET($A29,0,31*($A$9-1)+1,1,31)=$NL$9,0.5,IF(OFFSET($A29,0,31*($A$9-1)+1,1,31)=$NL$8,0,1))*(OFFSET($A$9,0,31*($A$9-1)+1,1,31))))=0,"",SUMPRODUCT((OFFSET($A29,0,31*($A$9-1)+1,1,31)&lt;&gt;"")*(IF(OFFSET($A29,0,31*($A$9-1)+1,1,31)=$NL$9,0.5,IF(OFFSET($A29,0,31*($A$9-1)+1,1,31)=$NL$8,0,1))*(OFFSET($A$9,0,31*($A$9-1)+1,1,31)))))</f>
        <v/>
      </c>
      <c r="NO29" s="77" t="str" cm="1">
        <f t="array" aca="1" ref="NO29" ca="1">IF(SUMPRODUCT((OFFSET($A29,0,1,1,372)&lt;&gt;"")*(IF(OFFSET($A29,0,1,1,372)=$NL$9,0.5,IF(OFFSET($A29,0,1,1,372)=$NL$8,0,1))*(OFFSET($A$9,0,1,1,372))))=0,"",SUMPRODUCT((OFFSET($A29,0,1,1,372)&lt;&gt;"")*(IF(OFFSET($A29,0,1,1,372)=$NL$9,0.5,IF(OFFSET($A29,0,1,1,372)=$NL$8,0,1))*(OFFSET($A$9,0,1,1,372)))))</f>
        <v/>
      </c>
      <c r="NP29" s="46"/>
      <c r="NQ29" s="75" t="str">
        <f t="array" aca="1" ref="NQ29" ca="1">IF(SUMPRODUCT((OFFSET($A29,0,1,1,372)&lt;&gt;"")*(OFFSET($A$9,0,1,1,372))*((OFFSET($A29,0,1,1,372))=NL$5))=0,"",SUMPRODUCT((OFFSET($A29,0,1,1,372)&lt;&gt;"")*(OFFSET($A$9,0,1,1,372))*((OFFSET($A29,0,1,1,372))=NL$5)))</f>
        <v/>
      </c>
      <c r="NR29" s="75" t="str">
        <f t="array" aca="1" ref="NR29" ca="1">IF(SUMPRODUCT((OFFSET($A29,0,1,1,372)&lt;&gt;"")*(OFFSET($A$9,0,1,1,372))*((OFFSET($A29,0,1,1,372))=NL$6))=0,"",SUMPRODUCT((OFFSET($A29,0,1,1,372)&lt;&gt;"")*(OFFSET($A$9,0,1,1,372))*((OFFSET($A29,0,1,1,372))=NL$6)))</f>
        <v/>
      </c>
      <c r="NS29" s="75" t="str">
        <f t="array" aca="1" ref="NS29" ca="1">IF(SUMPRODUCT((OFFSET($A29,0,1,1,372)&lt;&gt;"")*(OFFSET($A$9,0,1,1,372))*((OFFSET($A29,0,1,1,372))=NL$7))=0,"",SUMPRODUCT((OFFSET($A29,0,1,1,372)&lt;&gt;"")*(OFFSET($A$9,0,1,1,372))*((OFFSET($A29,0,1,1,372))=NL$7)))</f>
        <v/>
      </c>
      <c r="NT29" s="75" t="str" cm="1">
        <f t="array" aca="1" ref="NT29" ca="1">IF(SUMPRODUCT((OFFSET($A29,0,1,1,372)&lt;&gt;"")*(OFFSET($A$9,0,1,1,372))*((OFFSET($A29,0,1,1,372))=NL$9))=0,"",SUMPRODUCT((OFFSET($A29,0,1,1,372)&lt;&gt;"")*(OFFSET($A$9,0,1,1,372))*((OFFSET($A29,0,1,1,372))=NL$9)))</f>
        <v/>
      </c>
    </row>
    <row r="30" spans="1:396" ht="15.5" x14ac:dyDescent="0.35">
      <c r="A30" s="3" t="s">
        <v>61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33"/>
      <c r="NK30" s="39"/>
      <c r="NL30" s="48"/>
      <c r="NN30" s="76" t="str" cm="1">
        <f t="array" aca="1" ref="NN30" ca="1">IF(SUMPRODUCT((OFFSET($A30,0,31*($A$9-1)+1,1,31)&lt;&gt;"")*(IF(OFFSET($A30,0,31*($A$9-1)+1,1,31)=$NL$9,0.5,IF(OFFSET($A30,0,31*($A$9-1)+1,1,31)=$NL$8,0,1))*(OFFSET($A$9,0,31*($A$9-1)+1,1,31))))=0,"",SUMPRODUCT((OFFSET($A30,0,31*($A$9-1)+1,1,31)&lt;&gt;"")*(IF(OFFSET($A30,0,31*($A$9-1)+1,1,31)=$NL$9,0.5,IF(OFFSET($A30,0,31*($A$9-1)+1,1,31)=$NL$8,0,1))*(OFFSET($A$9,0,31*($A$9-1)+1,1,31)))))</f>
        <v/>
      </c>
      <c r="NO30" s="77" t="str" cm="1">
        <f t="array" aca="1" ref="NO30" ca="1">IF(SUMPRODUCT((OFFSET($A30,0,1,1,372)&lt;&gt;"")*(IF(OFFSET($A30,0,1,1,372)=$NL$9,0.5,IF(OFFSET($A30,0,1,1,372)=$NL$8,0,1))*(OFFSET($A$9,0,1,1,372))))=0,"",SUMPRODUCT((OFFSET($A30,0,1,1,372)&lt;&gt;"")*(IF(OFFSET($A30,0,1,1,372)=$NL$9,0.5,IF(OFFSET($A30,0,1,1,372)=$NL$8,0,1))*(OFFSET($A$9,0,1,1,372)))))</f>
        <v/>
      </c>
      <c r="NP30" s="46"/>
      <c r="NQ30" s="75" t="str">
        <f t="array" aca="1" ref="NQ30" ca="1">IF(SUMPRODUCT((OFFSET($A30,0,1,1,372)&lt;&gt;"")*(OFFSET($A$9,0,1,1,372))*((OFFSET($A30,0,1,1,372))=NL$5))=0,"",SUMPRODUCT((OFFSET($A30,0,1,1,372)&lt;&gt;"")*(OFFSET($A$9,0,1,1,372))*((OFFSET($A30,0,1,1,372))=NL$5)))</f>
        <v/>
      </c>
      <c r="NR30" s="75" t="str">
        <f t="array" aca="1" ref="NR30" ca="1">IF(SUMPRODUCT((OFFSET($A30,0,1,1,372)&lt;&gt;"")*(OFFSET($A$9,0,1,1,372))*((OFFSET($A30,0,1,1,372))=NL$6))=0,"",SUMPRODUCT((OFFSET($A30,0,1,1,372)&lt;&gt;"")*(OFFSET($A$9,0,1,1,372))*((OFFSET($A30,0,1,1,372))=NL$6)))</f>
        <v/>
      </c>
      <c r="NS30" s="75" t="str">
        <f t="array" aca="1" ref="NS30" ca="1">IF(SUMPRODUCT((OFFSET($A30,0,1,1,372)&lt;&gt;"")*(OFFSET($A$9,0,1,1,372))*((OFFSET($A30,0,1,1,372))=NL$7))=0,"",SUMPRODUCT((OFFSET($A30,0,1,1,372)&lt;&gt;"")*(OFFSET($A$9,0,1,1,372))*((OFFSET($A30,0,1,1,372))=NL$7)))</f>
        <v/>
      </c>
      <c r="NT30" s="75" t="str" cm="1">
        <f t="array" aca="1" ref="NT30" ca="1">IF(SUMPRODUCT((OFFSET($A30,0,1,1,372)&lt;&gt;"")*(OFFSET($A$9,0,1,1,372))*((OFFSET($A30,0,1,1,372))=NL$9))=0,"",SUMPRODUCT((OFFSET($A30,0,1,1,372)&lt;&gt;"")*(OFFSET($A$9,0,1,1,372))*((OFFSET($A30,0,1,1,372))=NL$9)))</f>
        <v/>
      </c>
    </row>
    <row r="31" spans="1:396" ht="15.5" x14ac:dyDescent="0.35">
      <c r="A31" s="3" t="s">
        <v>62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33"/>
      <c r="NK31" s="39"/>
      <c r="NL31" s="48"/>
      <c r="NN31" s="76" t="str" cm="1">
        <f t="array" aca="1" ref="NN31" ca="1">IF(SUMPRODUCT((OFFSET($A31,0,31*($A$9-1)+1,1,31)&lt;&gt;"")*(IF(OFFSET($A31,0,31*($A$9-1)+1,1,31)=$NL$9,0.5,IF(OFFSET($A31,0,31*($A$9-1)+1,1,31)=$NL$8,0,1))*(OFFSET($A$9,0,31*($A$9-1)+1,1,31))))=0,"",SUMPRODUCT((OFFSET($A31,0,31*($A$9-1)+1,1,31)&lt;&gt;"")*(IF(OFFSET($A31,0,31*($A$9-1)+1,1,31)=$NL$9,0.5,IF(OFFSET($A31,0,31*($A$9-1)+1,1,31)=$NL$8,0,1))*(OFFSET($A$9,0,31*($A$9-1)+1,1,31)))))</f>
        <v/>
      </c>
      <c r="NO31" s="77" t="str" cm="1">
        <f t="array" aca="1" ref="NO31" ca="1">IF(SUMPRODUCT((OFFSET($A31,0,1,1,372)&lt;&gt;"")*(IF(OFFSET($A31,0,1,1,372)=$NL$9,0.5,IF(OFFSET($A31,0,1,1,372)=$NL$8,0,1))*(OFFSET($A$9,0,1,1,372))))=0,"",SUMPRODUCT((OFFSET($A31,0,1,1,372)&lt;&gt;"")*(IF(OFFSET($A31,0,1,1,372)=$NL$9,0.5,IF(OFFSET($A31,0,1,1,372)=$NL$8,0,1))*(OFFSET($A$9,0,1,1,372)))))</f>
        <v/>
      </c>
      <c r="NP31" s="46"/>
      <c r="NQ31" s="75" t="str">
        <f t="array" aca="1" ref="NQ31" ca="1">IF(SUMPRODUCT((OFFSET($A31,0,1,1,372)&lt;&gt;"")*(OFFSET($A$9,0,1,1,372))*((OFFSET($A31,0,1,1,372))=NL$5))=0,"",SUMPRODUCT((OFFSET($A31,0,1,1,372)&lt;&gt;"")*(OFFSET($A$9,0,1,1,372))*((OFFSET($A31,0,1,1,372))=NL$5)))</f>
        <v/>
      </c>
      <c r="NR31" s="75" t="str">
        <f t="array" aca="1" ref="NR31" ca="1">IF(SUMPRODUCT((OFFSET($A31,0,1,1,372)&lt;&gt;"")*(OFFSET($A$9,0,1,1,372))*((OFFSET($A31,0,1,1,372))=NL$6))=0,"",SUMPRODUCT((OFFSET($A31,0,1,1,372)&lt;&gt;"")*(OFFSET($A$9,0,1,1,372))*((OFFSET($A31,0,1,1,372))=NL$6)))</f>
        <v/>
      </c>
      <c r="NS31" s="75" t="str">
        <f t="array" aca="1" ref="NS31" ca="1">IF(SUMPRODUCT((OFFSET($A31,0,1,1,372)&lt;&gt;"")*(OFFSET($A$9,0,1,1,372))*((OFFSET($A31,0,1,1,372))=NL$7))=0,"",SUMPRODUCT((OFFSET($A31,0,1,1,372)&lt;&gt;"")*(OFFSET($A$9,0,1,1,372))*((OFFSET($A31,0,1,1,372))=NL$7)))</f>
        <v/>
      </c>
      <c r="NT31" s="75" t="str" cm="1">
        <f t="array" aca="1" ref="NT31" ca="1">IF(SUMPRODUCT((OFFSET($A31,0,1,1,372)&lt;&gt;"")*(OFFSET($A$9,0,1,1,372))*((OFFSET($A31,0,1,1,372))=NL$9))=0,"",SUMPRODUCT((OFFSET($A31,0,1,1,372)&lt;&gt;"")*(OFFSET($A$9,0,1,1,372))*((OFFSET($A31,0,1,1,372))=NL$9)))</f>
        <v/>
      </c>
    </row>
    <row r="32" spans="1:396" ht="15.5" x14ac:dyDescent="0.35">
      <c r="A32" s="3" t="s">
        <v>63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33"/>
      <c r="NK32" s="39"/>
      <c r="NL32" s="48"/>
      <c r="NN32" s="76" t="str" cm="1">
        <f t="array" aca="1" ref="NN32" ca="1">IF(SUMPRODUCT((OFFSET($A32,0,31*($A$9-1)+1,1,31)&lt;&gt;"")*(IF(OFFSET($A32,0,31*($A$9-1)+1,1,31)=$NL$9,0.5,IF(OFFSET($A32,0,31*($A$9-1)+1,1,31)=$NL$8,0,1))*(OFFSET($A$9,0,31*($A$9-1)+1,1,31))))=0,"",SUMPRODUCT((OFFSET($A32,0,31*($A$9-1)+1,1,31)&lt;&gt;"")*(IF(OFFSET($A32,0,31*($A$9-1)+1,1,31)=$NL$9,0.5,IF(OFFSET($A32,0,31*($A$9-1)+1,1,31)=$NL$8,0,1))*(OFFSET($A$9,0,31*($A$9-1)+1,1,31)))))</f>
        <v/>
      </c>
      <c r="NO32" s="77" t="str" cm="1">
        <f t="array" aca="1" ref="NO32" ca="1">IF(SUMPRODUCT((OFFSET($A32,0,1,1,372)&lt;&gt;"")*(IF(OFFSET($A32,0,1,1,372)=$NL$9,0.5,IF(OFFSET($A32,0,1,1,372)=$NL$8,0,1))*(OFFSET($A$9,0,1,1,372))))=0,"",SUMPRODUCT((OFFSET($A32,0,1,1,372)&lt;&gt;"")*(IF(OFFSET($A32,0,1,1,372)=$NL$9,0.5,IF(OFFSET($A32,0,1,1,372)=$NL$8,0,1))*(OFFSET($A$9,0,1,1,372)))))</f>
        <v/>
      </c>
      <c r="NP32" s="46"/>
      <c r="NQ32" s="75" t="str">
        <f t="array" aca="1" ref="NQ32" ca="1">IF(SUMPRODUCT((OFFSET($A32,0,1,1,372)&lt;&gt;"")*(OFFSET($A$9,0,1,1,372))*((OFFSET($A32,0,1,1,372))=NL$5))=0,"",SUMPRODUCT((OFFSET($A32,0,1,1,372)&lt;&gt;"")*(OFFSET($A$9,0,1,1,372))*((OFFSET($A32,0,1,1,372))=NL$5)))</f>
        <v/>
      </c>
      <c r="NR32" s="75" t="str">
        <f t="array" aca="1" ref="NR32" ca="1">IF(SUMPRODUCT((OFFSET($A32,0,1,1,372)&lt;&gt;"")*(OFFSET($A$9,0,1,1,372))*((OFFSET($A32,0,1,1,372))=NL$6))=0,"",SUMPRODUCT((OFFSET($A32,0,1,1,372)&lt;&gt;"")*(OFFSET($A$9,0,1,1,372))*((OFFSET($A32,0,1,1,372))=NL$6)))</f>
        <v/>
      </c>
      <c r="NS32" s="75" t="str">
        <f t="array" aca="1" ref="NS32" ca="1">IF(SUMPRODUCT((OFFSET($A32,0,1,1,372)&lt;&gt;"")*(OFFSET($A$9,0,1,1,372))*((OFFSET($A32,0,1,1,372))=NL$7))=0,"",SUMPRODUCT((OFFSET($A32,0,1,1,372)&lt;&gt;"")*(OFFSET($A$9,0,1,1,372))*((OFFSET($A32,0,1,1,372))=NL$7)))</f>
        <v/>
      </c>
      <c r="NT32" s="75" t="str" cm="1">
        <f t="array" aca="1" ref="NT32" ca="1">IF(SUMPRODUCT((OFFSET($A32,0,1,1,372)&lt;&gt;"")*(OFFSET($A$9,0,1,1,372))*((OFFSET($A32,0,1,1,372))=NL$9))=0,"",SUMPRODUCT((OFFSET($A32,0,1,1,372)&lt;&gt;"")*(OFFSET($A$9,0,1,1,372))*((OFFSET($A32,0,1,1,372))=NL$9)))</f>
        <v/>
      </c>
    </row>
    <row r="33" spans="1:384" ht="15.5" x14ac:dyDescent="0.35">
      <c r="A33" s="3" t="s">
        <v>64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33"/>
      <c r="NK33" s="39"/>
      <c r="NL33" s="48"/>
      <c r="NN33" s="76" t="str" cm="1">
        <f t="array" aca="1" ref="NN33" ca="1">IF(SUMPRODUCT((OFFSET($A33,0,31*($A$9-1)+1,1,31)&lt;&gt;"")*(IF(OFFSET($A33,0,31*($A$9-1)+1,1,31)=$NL$9,0.5,IF(OFFSET($A33,0,31*($A$9-1)+1,1,31)=$NL$8,0,1))*(OFFSET($A$9,0,31*($A$9-1)+1,1,31))))=0,"",SUMPRODUCT((OFFSET($A33,0,31*($A$9-1)+1,1,31)&lt;&gt;"")*(IF(OFFSET($A33,0,31*($A$9-1)+1,1,31)=$NL$9,0.5,IF(OFFSET($A33,0,31*($A$9-1)+1,1,31)=$NL$8,0,1))*(OFFSET($A$9,0,31*($A$9-1)+1,1,31)))))</f>
        <v/>
      </c>
      <c r="NO33" s="77" t="str" cm="1">
        <f t="array" aca="1" ref="NO33" ca="1">IF(SUMPRODUCT((OFFSET($A33,0,1,1,372)&lt;&gt;"")*(IF(OFFSET($A33,0,1,1,372)=$NL$9,0.5,IF(OFFSET($A33,0,1,1,372)=$NL$8,0,1))*(OFFSET($A$9,0,1,1,372))))=0,"",SUMPRODUCT((OFFSET($A33,0,1,1,372)&lt;&gt;"")*(IF(OFFSET($A33,0,1,1,372)=$NL$9,0.5,IF(OFFSET($A33,0,1,1,372)=$NL$8,0,1))*(OFFSET($A$9,0,1,1,372)))))</f>
        <v/>
      </c>
      <c r="NP33" s="46"/>
      <c r="NQ33" s="75" t="str">
        <f t="array" aca="1" ref="NQ33" ca="1">IF(SUMPRODUCT((OFFSET($A33,0,1,1,372)&lt;&gt;"")*(OFFSET($A$9,0,1,1,372))*((OFFSET($A33,0,1,1,372))=NL$5))=0,"",SUMPRODUCT((OFFSET($A33,0,1,1,372)&lt;&gt;"")*(OFFSET($A$9,0,1,1,372))*((OFFSET($A33,0,1,1,372))=NL$5)))</f>
        <v/>
      </c>
      <c r="NR33" s="75" t="str">
        <f t="array" aca="1" ref="NR33" ca="1">IF(SUMPRODUCT((OFFSET($A33,0,1,1,372)&lt;&gt;"")*(OFFSET($A$9,0,1,1,372))*((OFFSET($A33,0,1,1,372))=NL$6))=0,"",SUMPRODUCT((OFFSET($A33,0,1,1,372)&lt;&gt;"")*(OFFSET($A$9,0,1,1,372))*((OFFSET($A33,0,1,1,372))=NL$6)))</f>
        <v/>
      </c>
      <c r="NS33" s="75" t="str">
        <f t="array" aca="1" ref="NS33" ca="1">IF(SUMPRODUCT((OFFSET($A33,0,1,1,372)&lt;&gt;"")*(OFFSET($A$9,0,1,1,372))*((OFFSET($A33,0,1,1,372))=NL$7))=0,"",SUMPRODUCT((OFFSET($A33,0,1,1,372)&lt;&gt;"")*(OFFSET($A$9,0,1,1,372))*((OFFSET($A33,0,1,1,372))=NL$7)))</f>
        <v/>
      </c>
      <c r="NT33" s="75" t="str" cm="1">
        <f t="array" aca="1" ref="NT33" ca="1">IF(SUMPRODUCT((OFFSET($A33,0,1,1,372)&lt;&gt;"")*(OFFSET($A$9,0,1,1,372))*((OFFSET($A33,0,1,1,372))=NL$9))=0,"",SUMPRODUCT((OFFSET($A33,0,1,1,372)&lt;&gt;"")*(OFFSET($A$9,0,1,1,372))*((OFFSET($A33,0,1,1,372))=NL$9)))</f>
        <v/>
      </c>
    </row>
    <row r="34" spans="1:384" ht="15.5" x14ac:dyDescent="0.35">
      <c r="A34" s="3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33"/>
      <c r="NK34" s="39"/>
      <c r="NL34" s="48"/>
      <c r="NN34" s="76" t="str" cm="1">
        <f t="array" aca="1" ref="NN34" ca="1">IF(SUMPRODUCT((OFFSET($A34,0,31*($A$9-1)+1,1,31)&lt;&gt;"")*(IF(OFFSET($A34,0,31*($A$9-1)+1,1,31)=$NL$9,0.5,IF(OFFSET($A34,0,31*($A$9-1)+1,1,31)=$NL$8,0,1))*(OFFSET($A$9,0,31*($A$9-1)+1,1,31))))=0,"",SUMPRODUCT((OFFSET($A34,0,31*($A$9-1)+1,1,31)&lt;&gt;"")*(IF(OFFSET($A34,0,31*($A$9-1)+1,1,31)=$NL$9,0.5,IF(OFFSET($A34,0,31*($A$9-1)+1,1,31)=$NL$8,0,1))*(OFFSET($A$9,0,31*($A$9-1)+1,1,31)))))</f>
        <v/>
      </c>
      <c r="NO34" s="77" t="str" cm="1">
        <f t="array" aca="1" ref="NO34" ca="1">IF(SUMPRODUCT((OFFSET($A34,0,1,1,372)&lt;&gt;"")*(IF(OFFSET($A34,0,1,1,372)=$NL$9,0.5,IF(OFFSET($A34,0,1,1,372)=$NL$8,0,1))*(OFFSET($A$9,0,1,1,372))))=0,"",SUMPRODUCT((OFFSET($A34,0,1,1,372)&lt;&gt;"")*(IF(OFFSET($A34,0,1,1,372)=$NL$9,0.5,IF(OFFSET($A34,0,1,1,372)=$NL$8,0,1))*(OFFSET($A$9,0,1,1,372)))))</f>
        <v/>
      </c>
      <c r="NP34" s="46"/>
      <c r="NQ34" s="75" t="str">
        <f t="array" aca="1" ref="NQ34" ca="1">IF(SUMPRODUCT((OFFSET($A34,0,1,1,372)&lt;&gt;"")*(OFFSET($A$9,0,1,1,372))*((OFFSET($A34,0,1,1,372))=NL$5))=0,"",SUMPRODUCT((OFFSET($A34,0,1,1,372)&lt;&gt;"")*(OFFSET($A$9,0,1,1,372))*((OFFSET($A34,0,1,1,372))=NL$5)))</f>
        <v/>
      </c>
      <c r="NR34" s="75" t="str">
        <f t="array" aca="1" ref="NR34" ca="1">IF(SUMPRODUCT((OFFSET($A34,0,1,1,372)&lt;&gt;"")*(OFFSET($A$9,0,1,1,372))*((OFFSET($A34,0,1,1,372))=NL$6))=0,"",SUMPRODUCT((OFFSET($A34,0,1,1,372)&lt;&gt;"")*(OFFSET($A$9,0,1,1,372))*((OFFSET($A34,0,1,1,372))=NL$6)))</f>
        <v/>
      </c>
      <c r="NS34" s="75" t="str">
        <f t="array" aca="1" ref="NS34" ca="1">IF(SUMPRODUCT((OFFSET($A34,0,1,1,372)&lt;&gt;"")*(OFFSET($A$9,0,1,1,372))*((OFFSET($A34,0,1,1,372))=NL$7))=0,"",SUMPRODUCT((OFFSET($A34,0,1,1,372)&lt;&gt;"")*(OFFSET($A$9,0,1,1,372))*((OFFSET($A34,0,1,1,372))=NL$7)))</f>
        <v/>
      </c>
      <c r="NT34" s="75" t="str" cm="1">
        <f t="array" aca="1" ref="NT34" ca="1">IF(SUMPRODUCT((OFFSET($A34,0,1,1,372)&lt;&gt;"")*(OFFSET($A$9,0,1,1,372))*((OFFSET($A34,0,1,1,372))=NL$9))=0,"",SUMPRODUCT((OFFSET($A34,0,1,1,372)&lt;&gt;"")*(OFFSET($A$9,0,1,1,372))*((OFFSET($A34,0,1,1,372))=NL$9)))</f>
        <v/>
      </c>
    </row>
    <row r="35" spans="1:384" ht="15.5" x14ac:dyDescent="0.35">
      <c r="A35" s="3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33"/>
      <c r="NK35" s="39"/>
      <c r="NL35" s="48"/>
      <c r="NN35" s="76" t="str" cm="1">
        <f t="array" aca="1" ref="NN35" ca="1">IF(SUMPRODUCT((OFFSET($A35,0,31*($A$9-1)+1,1,31)&lt;&gt;"")*(IF(OFFSET($A35,0,31*($A$9-1)+1,1,31)=$NL$9,0.5,IF(OFFSET($A35,0,31*($A$9-1)+1,1,31)=$NL$8,0,1))*(OFFSET($A$9,0,31*($A$9-1)+1,1,31))))=0,"",SUMPRODUCT((OFFSET($A35,0,31*($A$9-1)+1,1,31)&lt;&gt;"")*(IF(OFFSET($A35,0,31*($A$9-1)+1,1,31)=$NL$9,0.5,IF(OFFSET($A35,0,31*($A$9-1)+1,1,31)=$NL$8,0,1))*(OFFSET($A$9,0,31*($A$9-1)+1,1,31)))))</f>
        <v/>
      </c>
      <c r="NO35" s="77" t="str" cm="1">
        <f t="array" aca="1" ref="NO35" ca="1">IF(SUMPRODUCT((OFFSET($A35,0,1,1,372)&lt;&gt;"")*(IF(OFFSET($A35,0,1,1,372)=$NL$9,0.5,IF(OFFSET($A35,0,1,1,372)=$NL$8,0,1))*(OFFSET($A$9,0,1,1,372))))=0,"",SUMPRODUCT((OFFSET($A35,0,1,1,372)&lt;&gt;"")*(IF(OFFSET($A35,0,1,1,372)=$NL$9,0.5,IF(OFFSET($A35,0,1,1,372)=$NL$8,0,1))*(OFFSET($A$9,0,1,1,372)))))</f>
        <v/>
      </c>
      <c r="NP35" s="46"/>
      <c r="NQ35" s="75" t="str">
        <f t="array" aca="1" ref="NQ35" ca="1">IF(SUMPRODUCT((OFFSET($A35,0,1,1,372)&lt;&gt;"")*(OFFSET($A$9,0,1,1,372))*((OFFSET($A35,0,1,1,372))=NL$5))=0,"",SUMPRODUCT((OFFSET($A35,0,1,1,372)&lt;&gt;"")*(OFFSET($A$9,0,1,1,372))*((OFFSET($A35,0,1,1,372))=NL$5)))</f>
        <v/>
      </c>
      <c r="NR35" s="75" t="str">
        <f t="array" aca="1" ref="NR35" ca="1">IF(SUMPRODUCT((OFFSET($A35,0,1,1,372)&lt;&gt;"")*(OFFSET($A$9,0,1,1,372))*((OFFSET($A35,0,1,1,372))=NL$6))=0,"",SUMPRODUCT((OFFSET($A35,0,1,1,372)&lt;&gt;"")*(OFFSET($A$9,0,1,1,372))*((OFFSET($A35,0,1,1,372))=NL$6)))</f>
        <v/>
      </c>
      <c r="NS35" s="75" t="str">
        <f t="array" aca="1" ref="NS35" ca="1">IF(SUMPRODUCT((OFFSET($A35,0,1,1,372)&lt;&gt;"")*(OFFSET($A$9,0,1,1,372))*((OFFSET($A35,0,1,1,372))=NL$7))=0,"",SUMPRODUCT((OFFSET($A35,0,1,1,372)&lt;&gt;"")*(OFFSET($A$9,0,1,1,372))*((OFFSET($A35,0,1,1,372))=NL$7)))</f>
        <v/>
      </c>
      <c r="NT35" s="75" t="str" cm="1">
        <f t="array" aca="1" ref="NT35" ca="1">IF(SUMPRODUCT((OFFSET($A35,0,1,1,372)&lt;&gt;"")*(OFFSET($A$9,0,1,1,372))*((OFFSET($A35,0,1,1,372))=NL$9))=0,"",SUMPRODUCT((OFFSET($A35,0,1,1,372)&lt;&gt;"")*(OFFSET($A$9,0,1,1,372))*((OFFSET($A35,0,1,1,372))=NL$9)))</f>
        <v/>
      </c>
    </row>
    <row r="36" spans="1:384" ht="15.5" x14ac:dyDescent="0.35">
      <c r="A36" s="3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33"/>
      <c r="NK36" s="39"/>
      <c r="NL36" s="48"/>
      <c r="NN36" s="76" t="str" cm="1">
        <f t="array" aca="1" ref="NN36" ca="1">IF(SUMPRODUCT((OFFSET($A36,0,31*($A$9-1)+1,1,31)&lt;&gt;"")*(IF(OFFSET($A36,0,31*($A$9-1)+1,1,31)=$NL$9,0.5,IF(OFFSET($A36,0,31*($A$9-1)+1,1,31)=$NL$8,0,1))*(OFFSET($A$9,0,31*($A$9-1)+1,1,31))))=0,"",SUMPRODUCT((OFFSET($A36,0,31*($A$9-1)+1,1,31)&lt;&gt;"")*(IF(OFFSET($A36,0,31*($A$9-1)+1,1,31)=$NL$9,0.5,IF(OFFSET($A36,0,31*($A$9-1)+1,1,31)=$NL$8,0,1))*(OFFSET($A$9,0,31*($A$9-1)+1,1,31)))))</f>
        <v/>
      </c>
      <c r="NO36" s="77" t="str" cm="1">
        <f t="array" aca="1" ref="NO36" ca="1">IF(SUMPRODUCT((OFFSET($A36,0,1,1,372)&lt;&gt;"")*(IF(OFFSET($A36,0,1,1,372)=$NL$9,0.5,IF(OFFSET($A36,0,1,1,372)=$NL$8,0,1))*(OFFSET($A$9,0,1,1,372))))=0,"",SUMPRODUCT((OFFSET($A36,0,1,1,372)&lt;&gt;"")*(IF(OFFSET($A36,0,1,1,372)=$NL$9,0.5,IF(OFFSET($A36,0,1,1,372)=$NL$8,0,1))*(OFFSET($A$9,0,1,1,372)))))</f>
        <v/>
      </c>
      <c r="NP36" s="46"/>
      <c r="NQ36" s="75" t="str">
        <f t="array" aca="1" ref="NQ36" ca="1">IF(SUMPRODUCT((OFFSET($A36,0,1,1,372)&lt;&gt;"")*(OFFSET($A$9,0,1,1,372))*((OFFSET($A36,0,1,1,372))=NL$5))=0,"",SUMPRODUCT((OFFSET($A36,0,1,1,372)&lt;&gt;"")*(OFFSET($A$9,0,1,1,372))*((OFFSET($A36,0,1,1,372))=NL$5)))</f>
        <v/>
      </c>
      <c r="NR36" s="75" t="str">
        <f t="array" aca="1" ref="NR36" ca="1">IF(SUMPRODUCT((OFFSET($A36,0,1,1,372)&lt;&gt;"")*(OFFSET($A$9,0,1,1,372))*((OFFSET($A36,0,1,1,372))=NL$6))=0,"",SUMPRODUCT((OFFSET($A36,0,1,1,372)&lt;&gt;"")*(OFFSET($A$9,0,1,1,372))*((OFFSET($A36,0,1,1,372))=NL$6)))</f>
        <v/>
      </c>
      <c r="NS36" s="75" t="str">
        <f t="array" aca="1" ref="NS36" ca="1">IF(SUMPRODUCT((OFFSET($A36,0,1,1,372)&lt;&gt;"")*(OFFSET($A$9,0,1,1,372))*((OFFSET($A36,0,1,1,372))=NL$7))=0,"",SUMPRODUCT((OFFSET($A36,0,1,1,372)&lt;&gt;"")*(OFFSET($A$9,0,1,1,372))*((OFFSET($A36,0,1,1,372))=NL$7)))</f>
        <v/>
      </c>
      <c r="NT36" s="75" t="str" cm="1">
        <f t="array" aca="1" ref="NT36" ca="1">IF(SUMPRODUCT((OFFSET($A36,0,1,1,372)&lt;&gt;"")*(OFFSET($A$9,0,1,1,372))*((OFFSET($A36,0,1,1,372))=NL$9))=0,"",SUMPRODUCT((OFFSET($A36,0,1,1,372)&lt;&gt;"")*(OFFSET($A$9,0,1,1,372))*((OFFSET($A36,0,1,1,372))=NL$9)))</f>
        <v/>
      </c>
    </row>
    <row r="37" spans="1:384" ht="15.5" x14ac:dyDescent="0.35">
      <c r="A37" s="3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  <c r="KI37" s="14"/>
      <c r="KJ37" s="14"/>
      <c r="KK37" s="14"/>
      <c r="KL37" s="14"/>
      <c r="KM37" s="14"/>
      <c r="KN37" s="14"/>
      <c r="KO37" s="14"/>
      <c r="KP37" s="14"/>
      <c r="KQ37" s="14"/>
      <c r="KR37" s="14"/>
      <c r="KS37" s="14"/>
      <c r="KT37" s="14"/>
      <c r="KU37" s="14"/>
      <c r="KV37" s="14"/>
      <c r="KW37" s="14"/>
      <c r="KX37" s="14"/>
      <c r="KY37" s="14"/>
      <c r="KZ37" s="14"/>
      <c r="LA37" s="14"/>
      <c r="LB37" s="14"/>
      <c r="LC37" s="14"/>
      <c r="LD37" s="14"/>
      <c r="LE37" s="14"/>
      <c r="LF37" s="14"/>
      <c r="LG37" s="14"/>
      <c r="LH37" s="14"/>
      <c r="LI37" s="14"/>
      <c r="LJ37" s="14"/>
      <c r="LK37" s="14"/>
      <c r="LL37" s="14"/>
      <c r="LM37" s="14"/>
      <c r="LN37" s="14"/>
      <c r="LO37" s="14"/>
      <c r="LP37" s="14"/>
      <c r="LQ37" s="14"/>
      <c r="LR37" s="14"/>
      <c r="LS37" s="14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33"/>
      <c r="NK37" s="39"/>
      <c r="NL37" s="48"/>
      <c r="NN37" s="76" t="str" cm="1">
        <f t="array" aca="1" ref="NN37" ca="1">IF(SUMPRODUCT((OFFSET($A37,0,31*($A$9-1)+1,1,31)&lt;&gt;"")*(IF(OFFSET($A37,0,31*($A$9-1)+1,1,31)=$NL$9,0.5,IF(OFFSET($A37,0,31*($A$9-1)+1,1,31)=$NL$8,0,1))*(OFFSET($A$9,0,31*($A$9-1)+1,1,31))))=0,"",SUMPRODUCT((OFFSET($A37,0,31*($A$9-1)+1,1,31)&lt;&gt;"")*(IF(OFFSET($A37,0,31*($A$9-1)+1,1,31)=$NL$9,0.5,IF(OFFSET($A37,0,31*($A$9-1)+1,1,31)=$NL$8,0,1))*(OFFSET($A$9,0,31*($A$9-1)+1,1,31)))))</f>
        <v/>
      </c>
      <c r="NO37" s="77" t="str" cm="1">
        <f t="array" aca="1" ref="NO37" ca="1">IF(SUMPRODUCT((OFFSET($A37,0,1,1,372)&lt;&gt;"")*(IF(OFFSET($A37,0,1,1,372)=$NL$9,0.5,IF(OFFSET($A37,0,1,1,372)=$NL$8,0,1))*(OFFSET($A$9,0,1,1,372))))=0,"",SUMPRODUCT((OFFSET($A37,0,1,1,372)&lt;&gt;"")*(IF(OFFSET($A37,0,1,1,372)=$NL$9,0.5,IF(OFFSET($A37,0,1,1,372)=$NL$8,0,1))*(OFFSET($A$9,0,1,1,372)))))</f>
        <v/>
      </c>
      <c r="NP37" s="46"/>
      <c r="NQ37" s="75" t="str">
        <f t="array" aca="1" ref="NQ37" ca="1">IF(SUMPRODUCT((OFFSET($A37,0,1,1,372)&lt;&gt;"")*(OFFSET($A$9,0,1,1,372))*((OFFSET($A37,0,1,1,372))=NL$5))=0,"",SUMPRODUCT((OFFSET($A37,0,1,1,372)&lt;&gt;"")*(OFFSET($A$9,0,1,1,372))*((OFFSET($A37,0,1,1,372))=NL$5)))</f>
        <v/>
      </c>
      <c r="NR37" s="75" t="str">
        <f t="array" aca="1" ref="NR37" ca="1">IF(SUMPRODUCT((OFFSET($A37,0,1,1,372)&lt;&gt;"")*(OFFSET($A$9,0,1,1,372))*((OFFSET($A37,0,1,1,372))=NL$6))=0,"",SUMPRODUCT((OFFSET($A37,0,1,1,372)&lt;&gt;"")*(OFFSET($A$9,0,1,1,372))*((OFFSET($A37,0,1,1,372))=NL$6)))</f>
        <v/>
      </c>
      <c r="NS37" s="75" t="str">
        <f t="array" aca="1" ref="NS37" ca="1">IF(SUMPRODUCT((OFFSET($A37,0,1,1,372)&lt;&gt;"")*(OFFSET($A$9,0,1,1,372))*((OFFSET($A37,0,1,1,372))=NL$7))=0,"",SUMPRODUCT((OFFSET($A37,0,1,1,372)&lt;&gt;"")*(OFFSET($A$9,0,1,1,372))*((OFFSET($A37,0,1,1,372))=NL$7)))</f>
        <v/>
      </c>
      <c r="NT37" s="75" t="str" cm="1">
        <f t="array" aca="1" ref="NT37" ca="1">IF(SUMPRODUCT((OFFSET($A37,0,1,1,372)&lt;&gt;"")*(OFFSET($A$9,0,1,1,372))*((OFFSET($A37,0,1,1,372))=NL$9))=0,"",SUMPRODUCT((OFFSET($A37,0,1,1,372)&lt;&gt;"")*(OFFSET($A$9,0,1,1,372))*((OFFSET($A37,0,1,1,372))=NL$9)))</f>
        <v/>
      </c>
    </row>
    <row r="38" spans="1:384" ht="15.5" x14ac:dyDescent="0.35">
      <c r="A38" s="3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  <c r="KI38" s="14"/>
      <c r="KJ38" s="14"/>
      <c r="KK38" s="14"/>
      <c r="KL38" s="14"/>
      <c r="KM38" s="14"/>
      <c r="KN38" s="14"/>
      <c r="KO38" s="14"/>
      <c r="KP38" s="14"/>
      <c r="KQ38" s="14"/>
      <c r="KR38" s="14"/>
      <c r="KS38" s="14"/>
      <c r="KT38" s="14"/>
      <c r="KU38" s="14"/>
      <c r="KV38" s="14"/>
      <c r="KW38" s="14"/>
      <c r="KX38" s="14"/>
      <c r="KY38" s="14"/>
      <c r="KZ38" s="14"/>
      <c r="LA38" s="14"/>
      <c r="LB38" s="14"/>
      <c r="LC38" s="14"/>
      <c r="LD38" s="14"/>
      <c r="LE38" s="14"/>
      <c r="LF38" s="14"/>
      <c r="LG38" s="14"/>
      <c r="LH38" s="14"/>
      <c r="LI38" s="14"/>
      <c r="LJ38" s="14"/>
      <c r="LK38" s="14"/>
      <c r="LL38" s="14"/>
      <c r="LM38" s="14"/>
      <c r="LN38" s="14"/>
      <c r="LO38" s="14"/>
      <c r="LP38" s="14"/>
      <c r="LQ38" s="14"/>
      <c r="LR38" s="14"/>
      <c r="LS38" s="14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33"/>
      <c r="NK38" s="39"/>
      <c r="NL38" s="48"/>
      <c r="NN38" s="76" t="str" cm="1">
        <f t="array" aca="1" ref="NN38" ca="1">IF(SUMPRODUCT((OFFSET($A38,0,31*($A$9-1)+1,1,31)&lt;&gt;"")*(IF(OFFSET($A38,0,31*($A$9-1)+1,1,31)=$NL$9,0.5,IF(OFFSET($A38,0,31*($A$9-1)+1,1,31)=$NL$8,0,1))*(OFFSET($A$9,0,31*($A$9-1)+1,1,31))))=0,"",SUMPRODUCT((OFFSET($A38,0,31*($A$9-1)+1,1,31)&lt;&gt;"")*(IF(OFFSET($A38,0,31*($A$9-1)+1,1,31)=$NL$9,0.5,IF(OFFSET($A38,0,31*($A$9-1)+1,1,31)=$NL$8,0,1))*(OFFSET($A$9,0,31*($A$9-1)+1,1,31)))))</f>
        <v/>
      </c>
      <c r="NO38" s="77" t="str" cm="1">
        <f t="array" aca="1" ref="NO38" ca="1">IF(SUMPRODUCT((OFFSET($A38,0,1,1,372)&lt;&gt;"")*(IF(OFFSET($A38,0,1,1,372)=$NL$9,0.5,IF(OFFSET($A38,0,1,1,372)=$NL$8,0,1))*(OFFSET($A$9,0,1,1,372))))=0,"",SUMPRODUCT((OFFSET($A38,0,1,1,372)&lt;&gt;"")*(IF(OFFSET($A38,0,1,1,372)=$NL$9,0.5,IF(OFFSET($A38,0,1,1,372)=$NL$8,0,1))*(OFFSET($A$9,0,1,1,372)))))</f>
        <v/>
      </c>
      <c r="NP38" s="46"/>
      <c r="NQ38" s="75" t="str">
        <f t="array" aca="1" ref="NQ38" ca="1">IF(SUMPRODUCT((OFFSET($A38,0,1,1,372)&lt;&gt;"")*(OFFSET($A$9,0,1,1,372))*((OFFSET($A38,0,1,1,372))=NL$5))=0,"",SUMPRODUCT((OFFSET($A38,0,1,1,372)&lt;&gt;"")*(OFFSET($A$9,0,1,1,372))*((OFFSET($A38,0,1,1,372))=NL$5)))</f>
        <v/>
      </c>
      <c r="NR38" s="75" t="str">
        <f t="array" aca="1" ref="NR38" ca="1">IF(SUMPRODUCT((OFFSET($A38,0,1,1,372)&lt;&gt;"")*(OFFSET($A$9,0,1,1,372))*((OFFSET($A38,0,1,1,372))=NL$6))=0,"",SUMPRODUCT((OFFSET($A38,0,1,1,372)&lt;&gt;"")*(OFFSET($A$9,0,1,1,372))*((OFFSET($A38,0,1,1,372))=NL$6)))</f>
        <v/>
      </c>
      <c r="NS38" s="75" t="str">
        <f t="array" aca="1" ref="NS38" ca="1">IF(SUMPRODUCT((OFFSET($A38,0,1,1,372)&lt;&gt;"")*(OFFSET($A$9,0,1,1,372))*((OFFSET($A38,0,1,1,372))=NL$7))=0,"",SUMPRODUCT((OFFSET($A38,0,1,1,372)&lt;&gt;"")*(OFFSET($A$9,0,1,1,372))*((OFFSET($A38,0,1,1,372))=NL$7)))</f>
        <v/>
      </c>
      <c r="NT38" s="75" t="str" cm="1">
        <f t="array" aca="1" ref="NT38" ca="1">IF(SUMPRODUCT((OFFSET($A38,0,1,1,372)&lt;&gt;"")*(OFFSET($A$9,0,1,1,372))*((OFFSET($A38,0,1,1,372))=NL$9))=0,"",SUMPRODUCT((OFFSET($A38,0,1,1,372)&lt;&gt;"")*(OFFSET($A$9,0,1,1,372))*((OFFSET($A38,0,1,1,372))=NL$9)))</f>
        <v/>
      </c>
    </row>
    <row r="39" spans="1:384" ht="15.5" x14ac:dyDescent="0.35">
      <c r="A39" s="3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  <c r="KI39" s="14"/>
      <c r="KJ39" s="14"/>
      <c r="KK39" s="14"/>
      <c r="KL39" s="14"/>
      <c r="KM39" s="14"/>
      <c r="KN39" s="14"/>
      <c r="KO39" s="14"/>
      <c r="KP39" s="14"/>
      <c r="KQ39" s="14"/>
      <c r="KR39" s="14"/>
      <c r="KS39" s="14"/>
      <c r="KT39" s="14"/>
      <c r="KU39" s="14"/>
      <c r="KV39" s="14"/>
      <c r="KW39" s="14"/>
      <c r="KX39" s="14"/>
      <c r="KY39" s="14"/>
      <c r="KZ39" s="14"/>
      <c r="LA39" s="14"/>
      <c r="LB39" s="14"/>
      <c r="LC39" s="14"/>
      <c r="LD39" s="14"/>
      <c r="LE39" s="14"/>
      <c r="LF39" s="14"/>
      <c r="LG39" s="14"/>
      <c r="LH39" s="14"/>
      <c r="LI39" s="14"/>
      <c r="LJ39" s="14"/>
      <c r="LK39" s="14"/>
      <c r="LL39" s="14"/>
      <c r="LM39" s="14"/>
      <c r="LN39" s="14"/>
      <c r="LO39" s="14"/>
      <c r="LP39" s="14"/>
      <c r="LQ39" s="14"/>
      <c r="LR39" s="14"/>
      <c r="LS39" s="14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33"/>
      <c r="NK39" s="39"/>
      <c r="NL39" s="48"/>
      <c r="NN39" s="76" t="str" cm="1">
        <f t="array" aca="1" ref="NN39" ca="1">IF(SUMPRODUCT((OFFSET($A39,0,31*($A$9-1)+1,1,31)&lt;&gt;"")*(IF(OFFSET($A39,0,31*($A$9-1)+1,1,31)=$NL$9,0.5,IF(OFFSET($A39,0,31*($A$9-1)+1,1,31)=$NL$8,0,1))*(OFFSET($A$9,0,31*($A$9-1)+1,1,31))))=0,"",SUMPRODUCT((OFFSET($A39,0,31*($A$9-1)+1,1,31)&lt;&gt;"")*(IF(OFFSET($A39,0,31*($A$9-1)+1,1,31)=$NL$9,0.5,IF(OFFSET($A39,0,31*($A$9-1)+1,1,31)=$NL$8,0,1))*(OFFSET($A$9,0,31*($A$9-1)+1,1,31)))))</f>
        <v/>
      </c>
      <c r="NO39" s="77" t="str" cm="1">
        <f t="array" aca="1" ref="NO39" ca="1">IF(SUMPRODUCT((OFFSET($A39,0,1,1,372)&lt;&gt;"")*(IF(OFFSET($A39,0,1,1,372)=$NL$9,0.5,IF(OFFSET($A39,0,1,1,372)=$NL$8,0,1))*(OFFSET($A$9,0,1,1,372))))=0,"",SUMPRODUCT((OFFSET($A39,0,1,1,372)&lt;&gt;"")*(IF(OFFSET($A39,0,1,1,372)=$NL$9,0.5,IF(OFFSET($A39,0,1,1,372)=$NL$8,0,1))*(OFFSET($A$9,0,1,1,372)))))</f>
        <v/>
      </c>
      <c r="NP39" s="46"/>
      <c r="NQ39" s="75" t="str">
        <f t="array" aca="1" ref="NQ39" ca="1">IF(SUMPRODUCT((OFFSET($A39,0,1,1,372)&lt;&gt;"")*(OFFSET($A$9,0,1,1,372))*((OFFSET($A39,0,1,1,372))=NL$5))=0,"",SUMPRODUCT((OFFSET($A39,0,1,1,372)&lt;&gt;"")*(OFFSET($A$9,0,1,1,372))*((OFFSET($A39,0,1,1,372))=NL$5)))</f>
        <v/>
      </c>
      <c r="NR39" s="75" t="str">
        <f t="array" aca="1" ref="NR39" ca="1">IF(SUMPRODUCT((OFFSET($A39,0,1,1,372)&lt;&gt;"")*(OFFSET($A$9,0,1,1,372))*((OFFSET($A39,0,1,1,372))=NL$6))=0,"",SUMPRODUCT((OFFSET($A39,0,1,1,372)&lt;&gt;"")*(OFFSET($A$9,0,1,1,372))*((OFFSET($A39,0,1,1,372))=NL$6)))</f>
        <v/>
      </c>
      <c r="NS39" s="75" t="str">
        <f t="array" aca="1" ref="NS39" ca="1">IF(SUMPRODUCT((OFFSET($A39,0,1,1,372)&lt;&gt;"")*(OFFSET($A$9,0,1,1,372))*((OFFSET($A39,0,1,1,372))=NL$7))=0,"",SUMPRODUCT((OFFSET($A39,0,1,1,372)&lt;&gt;"")*(OFFSET($A$9,0,1,1,372))*((OFFSET($A39,0,1,1,372))=NL$7)))</f>
        <v/>
      </c>
      <c r="NT39" s="75" t="str" cm="1">
        <f t="array" aca="1" ref="NT39" ca="1">IF(SUMPRODUCT((OFFSET($A39,0,1,1,372)&lt;&gt;"")*(OFFSET($A$9,0,1,1,372))*((OFFSET($A39,0,1,1,372))=NL$9))=0,"",SUMPRODUCT((OFFSET($A39,0,1,1,372)&lt;&gt;"")*(OFFSET($A$9,0,1,1,372))*((OFFSET($A39,0,1,1,372))=NL$9)))</f>
        <v/>
      </c>
    </row>
    <row r="40" spans="1:384" ht="15.5" x14ac:dyDescent="0.35">
      <c r="A40" s="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  <c r="KI40" s="14"/>
      <c r="KJ40" s="14"/>
      <c r="KK40" s="14"/>
      <c r="KL40" s="14"/>
      <c r="KM40" s="14"/>
      <c r="KN40" s="14"/>
      <c r="KO40" s="14"/>
      <c r="KP40" s="14"/>
      <c r="KQ40" s="14"/>
      <c r="KR40" s="14"/>
      <c r="KS40" s="14"/>
      <c r="KT40" s="14"/>
      <c r="KU40" s="14"/>
      <c r="KV40" s="14"/>
      <c r="KW40" s="14"/>
      <c r="KX40" s="14"/>
      <c r="KY40" s="14"/>
      <c r="KZ40" s="14"/>
      <c r="LA40" s="14"/>
      <c r="LB40" s="14"/>
      <c r="LC40" s="14"/>
      <c r="LD40" s="14"/>
      <c r="LE40" s="14"/>
      <c r="LF40" s="14"/>
      <c r="LG40" s="14"/>
      <c r="LH40" s="14"/>
      <c r="LI40" s="14"/>
      <c r="LJ40" s="14"/>
      <c r="LK40" s="14"/>
      <c r="LL40" s="14"/>
      <c r="LM40" s="14"/>
      <c r="LN40" s="14"/>
      <c r="LO40" s="14"/>
      <c r="LP40" s="14"/>
      <c r="LQ40" s="14"/>
      <c r="LR40" s="14"/>
      <c r="LS40" s="14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33"/>
      <c r="NK40" s="39"/>
      <c r="NL40" s="48"/>
      <c r="NN40" s="76" t="str" cm="1">
        <f t="array" aca="1" ref="NN40" ca="1">IF(SUMPRODUCT((OFFSET($A40,0,31*($A$9-1)+1,1,31)&lt;&gt;"")*(IF(OFFSET($A40,0,31*($A$9-1)+1,1,31)=$NL$9,0.5,IF(OFFSET($A40,0,31*($A$9-1)+1,1,31)=$NL$8,0,1))*(OFFSET($A$9,0,31*($A$9-1)+1,1,31))))=0,"",SUMPRODUCT((OFFSET($A40,0,31*($A$9-1)+1,1,31)&lt;&gt;"")*(IF(OFFSET($A40,0,31*($A$9-1)+1,1,31)=$NL$9,0.5,IF(OFFSET($A40,0,31*($A$9-1)+1,1,31)=$NL$8,0,1))*(OFFSET($A$9,0,31*($A$9-1)+1,1,31)))))</f>
        <v/>
      </c>
      <c r="NO40" s="77" t="str" cm="1">
        <f t="array" aca="1" ref="NO40" ca="1">IF(SUMPRODUCT((OFFSET($A40,0,1,1,372)&lt;&gt;"")*(IF(OFFSET($A40,0,1,1,372)=$NL$9,0.5,IF(OFFSET($A40,0,1,1,372)=$NL$8,0,1))*(OFFSET($A$9,0,1,1,372))))=0,"",SUMPRODUCT((OFFSET($A40,0,1,1,372)&lt;&gt;"")*(IF(OFFSET($A40,0,1,1,372)=$NL$9,0.5,IF(OFFSET($A40,0,1,1,372)=$NL$8,0,1))*(OFFSET($A$9,0,1,1,372)))))</f>
        <v/>
      </c>
      <c r="NP40" s="46"/>
      <c r="NQ40" s="75" t="str">
        <f t="array" aca="1" ref="NQ40" ca="1">IF(SUMPRODUCT((OFFSET($A40,0,1,1,372)&lt;&gt;"")*(OFFSET($A$9,0,1,1,372))*((OFFSET($A40,0,1,1,372))=NL$5))=0,"",SUMPRODUCT((OFFSET($A40,0,1,1,372)&lt;&gt;"")*(OFFSET($A$9,0,1,1,372))*((OFFSET($A40,0,1,1,372))=NL$5)))</f>
        <v/>
      </c>
      <c r="NR40" s="75" t="str">
        <f t="array" aca="1" ref="NR40" ca="1">IF(SUMPRODUCT((OFFSET($A40,0,1,1,372)&lt;&gt;"")*(OFFSET($A$9,0,1,1,372))*((OFFSET($A40,0,1,1,372))=NL$6))=0,"",SUMPRODUCT((OFFSET($A40,0,1,1,372)&lt;&gt;"")*(OFFSET($A$9,0,1,1,372))*((OFFSET($A40,0,1,1,372))=NL$6)))</f>
        <v/>
      </c>
      <c r="NS40" s="75" t="str">
        <f t="array" aca="1" ref="NS40" ca="1">IF(SUMPRODUCT((OFFSET($A40,0,1,1,372)&lt;&gt;"")*(OFFSET($A$9,0,1,1,372))*((OFFSET($A40,0,1,1,372))=NL$7))=0,"",SUMPRODUCT((OFFSET($A40,0,1,1,372)&lt;&gt;"")*(OFFSET($A$9,0,1,1,372))*((OFFSET($A40,0,1,1,372))=NL$7)))</f>
        <v/>
      </c>
      <c r="NT40" s="75" t="str" cm="1">
        <f t="array" aca="1" ref="NT40" ca="1">IF(SUMPRODUCT((OFFSET($A40,0,1,1,372)&lt;&gt;"")*(OFFSET($A$9,0,1,1,372))*((OFFSET($A40,0,1,1,372))=NL$9))=0,"",SUMPRODUCT((OFFSET($A40,0,1,1,372)&lt;&gt;"")*(OFFSET($A$9,0,1,1,372))*((OFFSET($A40,0,1,1,372))=NL$9)))</f>
        <v/>
      </c>
    </row>
    <row r="41" spans="1:384" ht="15.5" x14ac:dyDescent="0.35">
      <c r="A41" s="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  <c r="KI41" s="14"/>
      <c r="KJ41" s="14"/>
      <c r="KK41" s="14"/>
      <c r="KL41" s="14"/>
      <c r="KM41" s="14"/>
      <c r="KN41" s="14"/>
      <c r="KO41" s="14"/>
      <c r="KP41" s="14"/>
      <c r="KQ41" s="14"/>
      <c r="KR41" s="14"/>
      <c r="KS41" s="14"/>
      <c r="KT41" s="14"/>
      <c r="KU41" s="14"/>
      <c r="KV41" s="14"/>
      <c r="KW41" s="14"/>
      <c r="KX41" s="14"/>
      <c r="KY41" s="14"/>
      <c r="KZ41" s="14"/>
      <c r="LA41" s="14"/>
      <c r="LB41" s="14"/>
      <c r="LC41" s="14"/>
      <c r="LD41" s="14"/>
      <c r="LE41" s="14"/>
      <c r="LF41" s="14"/>
      <c r="LG41" s="14"/>
      <c r="LH41" s="14"/>
      <c r="LI41" s="14"/>
      <c r="LJ41" s="14"/>
      <c r="LK41" s="14"/>
      <c r="LL41" s="14"/>
      <c r="LM41" s="14"/>
      <c r="LN41" s="14"/>
      <c r="LO41" s="14"/>
      <c r="LP41" s="14"/>
      <c r="LQ41" s="14"/>
      <c r="LR41" s="14"/>
      <c r="LS41" s="14"/>
      <c r="LT41" s="14"/>
      <c r="LU41" s="14"/>
      <c r="LV41" s="14"/>
      <c r="LW41" s="14"/>
      <c r="LX41" s="14"/>
      <c r="LY41" s="14"/>
      <c r="LZ41" s="14"/>
      <c r="MA41" s="14"/>
      <c r="MB41" s="14"/>
      <c r="MC41" s="14"/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/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/>
      <c r="NB41" s="14"/>
      <c r="NC41" s="14"/>
      <c r="ND41" s="14"/>
      <c r="NE41" s="14"/>
      <c r="NF41" s="14"/>
      <c r="NG41" s="14"/>
      <c r="NH41" s="14"/>
      <c r="NI41" s="33"/>
      <c r="NK41" s="39"/>
      <c r="NL41" s="48"/>
      <c r="NN41" s="76" t="str" cm="1">
        <f t="array" aca="1" ref="NN41" ca="1">IF(SUMPRODUCT((OFFSET($A41,0,31*($A$9-1)+1,1,31)&lt;&gt;"")*(IF(OFFSET($A41,0,31*($A$9-1)+1,1,31)=$NL$9,0.5,IF(OFFSET($A41,0,31*($A$9-1)+1,1,31)=$NL$8,0,1))*(OFFSET($A$9,0,31*($A$9-1)+1,1,31))))=0,"",SUMPRODUCT((OFFSET($A41,0,31*($A$9-1)+1,1,31)&lt;&gt;"")*(IF(OFFSET($A41,0,31*($A$9-1)+1,1,31)=$NL$9,0.5,IF(OFFSET($A41,0,31*($A$9-1)+1,1,31)=$NL$8,0,1))*(OFFSET($A$9,0,31*($A$9-1)+1,1,31)))))</f>
        <v/>
      </c>
      <c r="NO41" s="77" t="str" cm="1">
        <f t="array" aca="1" ref="NO41" ca="1">IF(SUMPRODUCT((OFFSET($A41,0,1,1,372)&lt;&gt;"")*(IF(OFFSET($A41,0,1,1,372)=$NL$9,0.5,IF(OFFSET($A41,0,1,1,372)=$NL$8,0,1))*(OFFSET($A$9,0,1,1,372))))=0,"",SUMPRODUCT((OFFSET($A41,0,1,1,372)&lt;&gt;"")*(IF(OFFSET($A41,0,1,1,372)=$NL$9,0.5,IF(OFFSET($A41,0,1,1,372)=$NL$8,0,1))*(OFFSET($A$9,0,1,1,372)))))</f>
        <v/>
      </c>
      <c r="NP41" s="46"/>
      <c r="NQ41" s="75" t="str">
        <f t="array" aca="1" ref="NQ41" ca="1">IF(SUMPRODUCT((OFFSET($A41,0,1,1,372)&lt;&gt;"")*(OFFSET($A$9,0,1,1,372))*((OFFSET($A41,0,1,1,372))=NL$5))=0,"",SUMPRODUCT((OFFSET($A41,0,1,1,372)&lt;&gt;"")*(OFFSET($A$9,0,1,1,372))*((OFFSET($A41,0,1,1,372))=NL$5)))</f>
        <v/>
      </c>
      <c r="NR41" s="75" t="str">
        <f t="array" aca="1" ref="NR41" ca="1">IF(SUMPRODUCT((OFFSET($A41,0,1,1,372)&lt;&gt;"")*(OFFSET($A$9,0,1,1,372))*((OFFSET($A41,0,1,1,372))=NL$6))=0,"",SUMPRODUCT((OFFSET($A41,0,1,1,372)&lt;&gt;"")*(OFFSET($A$9,0,1,1,372))*((OFFSET($A41,0,1,1,372))=NL$6)))</f>
        <v/>
      </c>
      <c r="NS41" s="75" t="str">
        <f t="array" aca="1" ref="NS41" ca="1">IF(SUMPRODUCT((OFFSET($A41,0,1,1,372)&lt;&gt;"")*(OFFSET($A$9,0,1,1,372))*((OFFSET($A41,0,1,1,372))=NL$7))=0,"",SUMPRODUCT((OFFSET($A41,0,1,1,372)&lt;&gt;"")*(OFFSET($A$9,0,1,1,372))*((OFFSET($A41,0,1,1,372))=NL$7)))</f>
        <v/>
      </c>
      <c r="NT41" s="75" t="str" cm="1">
        <f t="array" aca="1" ref="NT41" ca="1">IF(SUMPRODUCT((OFFSET($A41,0,1,1,372)&lt;&gt;"")*(OFFSET($A$9,0,1,1,372))*((OFFSET($A41,0,1,1,372))=NL$9))=0,"",SUMPRODUCT((OFFSET($A41,0,1,1,372)&lt;&gt;"")*(OFFSET($A$9,0,1,1,372))*((OFFSET($A41,0,1,1,372))=NL$9)))</f>
        <v/>
      </c>
    </row>
    <row r="42" spans="1:384" ht="15.5" x14ac:dyDescent="0.35">
      <c r="A42" s="3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  <c r="KI42" s="14"/>
      <c r="KJ42" s="14"/>
      <c r="KK42" s="14"/>
      <c r="KL42" s="14"/>
      <c r="KM42" s="14"/>
      <c r="KN42" s="14"/>
      <c r="KO42" s="14"/>
      <c r="KP42" s="14"/>
      <c r="KQ42" s="14"/>
      <c r="KR42" s="14"/>
      <c r="KS42" s="14"/>
      <c r="KT42" s="14"/>
      <c r="KU42" s="14"/>
      <c r="KV42" s="14"/>
      <c r="KW42" s="14"/>
      <c r="KX42" s="14"/>
      <c r="KY42" s="14"/>
      <c r="KZ42" s="14"/>
      <c r="LA42" s="14"/>
      <c r="LB42" s="14"/>
      <c r="LC42" s="14"/>
      <c r="LD42" s="14"/>
      <c r="LE42" s="14"/>
      <c r="LF42" s="14"/>
      <c r="LG42" s="14"/>
      <c r="LH42" s="14"/>
      <c r="LI42" s="14"/>
      <c r="LJ42" s="14"/>
      <c r="LK42" s="14"/>
      <c r="LL42" s="14"/>
      <c r="LM42" s="14"/>
      <c r="LN42" s="14"/>
      <c r="LO42" s="14"/>
      <c r="LP42" s="14"/>
      <c r="LQ42" s="14"/>
      <c r="LR42" s="14"/>
      <c r="LS42" s="14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33"/>
      <c r="NK42" s="39"/>
      <c r="NL42" s="48"/>
      <c r="NN42" s="76" t="str" cm="1">
        <f t="array" aca="1" ref="NN42" ca="1">IF(SUMPRODUCT((OFFSET($A42,0,31*($A$9-1)+1,1,31)&lt;&gt;"")*(IF(OFFSET($A42,0,31*($A$9-1)+1,1,31)=$NL$9,0.5,IF(OFFSET($A42,0,31*($A$9-1)+1,1,31)=$NL$8,0,1))*(OFFSET($A$9,0,31*($A$9-1)+1,1,31))))=0,"",SUMPRODUCT((OFFSET($A42,0,31*($A$9-1)+1,1,31)&lt;&gt;"")*(IF(OFFSET($A42,0,31*($A$9-1)+1,1,31)=$NL$9,0.5,IF(OFFSET($A42,0,31*($A$9-1)+1,1,31)=$NL$8,0,1))*(OFFSET($A$9,0,31*($A$9-1)+1,1,31)))))</f>
        <v/>
      </c>
      <c r="NO42" s="77" t="str" cm="1">
        <f t="array" aca="1" ref="NO42" ca="1">IF(SUMPRODUCT((OFFSET($A42,0,1,1,372)&lt;&gt;"")*(IF(OFFSET($A42,0,1,1,372)=$NL$9,0.5,IF(OFFSET($A42,0,1,1,372)=$NL$8,0,1))*(OFFSET($A$9,0,1,1,372))))=0,"",SUMPRODUCT((OFFSET($A42,0,1,1,372)&lt;&gt;"")*(IF(OFFSET($A42,0,1,1,372)=$NL$9,0.5,IF(OFFSET($A42,0,1,1,372)=$NL$8,0,1))*(OFFSET($A$9,0,1,1,372)))))</f>
        <v/>
      </c>
      <c r="NP42" s="46"/>
      <c r="NQ42" s="75" t="str">
        <f t="array" aca="1" ref="NQ42" ca="1">IF(SUMPRODUCT((OFFSET($A42,0,1,1,372)&lt;&gt;"")*(OFFSET($A$9,0,1,1,372))*((OFFSET($A42,0,1,1,372))=NL$5))=0,"",SUMPRODUCT((OFFSET($A42,0,1,1,372)&lt;&gt;"")*(OFFSET($A$9,0,1,1,372))*((OFFSET($A42,0,1,1,372))=NL$5)))</f>
        <v/>
      </c>
      <c r="NR42" s="75" t="str">
        <f t="array" aca="1" ref="NR42" ca="1">IF(SUMPRODUCT((OFFSET($A42,0,1,1,372)&lt;&gt;"")*(OFFSET($A$9,0,1,1,372))*((OFFSET($A42,0,1,1,372))=NL$6))=0,"",SUMPRODUCT((OFFSET($A42,0,1,1,372)&lt;&gt;"")*(OFFSET($A$9,0,1,1,372))*((OFFSET($A42,0,1,1,372))=NL$6)))</f>
        <v/>
      </c>
      <c r="NS42" s="75" t="str">
        <f t="array" aca="1" ref="NS42" ca="1">IF(SUMPRODUCT((OFFSET($A42,0,1,1,372)&lt;&gt;"")*(OFFSET($A$9,0,1,1,372))*((OFFSET($A42,0,1,1,372))=NL$7))=0,"",SUMPRODUCT((OFFSET($A42,0,1,1,372)&lt;&gt;"")*(OFFSET($A$9,0,1,1,372))*((OFFSET($A42,0,1,1,372))=NL$7)))</f>
        <v/>
      </c>
      <c r="NT42" s="75" t="str" cm="1">
        <f t="array" aca="1" ref="NT42" ca="1">IF(SUMPRODUCT((OFFSET($A42,0,1,1,372)&lt;&gt;"")*(OFFSET($A$9,0,1,1,372))*((OFFSET($A42,0,1,1,372))=NL$9))=0,"",SUMPRODUCT((OFFSET($A42,0,1,1,372)&lt;&gt;"")*(OFFSET($A$9,0,1,1,372))*((OFFSET($A42,0,1,1,372))=NL$9)))</f>
        <v/>
      </c>
    </row>
    <row r="43" spans="1:384" ht="15.5" x14ac:dyDescent="0.35">
      <c r="A43" s="3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  <c r="KI43" s="14"/>
      <c r="KJ43" s="14"/>
      <c r="KK43" s="14"/>
      <c r="KL43" s="14"/>
      <c r="KM43" s="14"/>
      <c r="KN43" s="14"/>
      <c r="KO43" s="14"/>
      <c r="KP43" s="14"/>
      <c r="KQ43" s="14"/>
      <c r="KR43" s="14"/>
      <c r="KS43" s="14"/>
      <c r="KT43" s="14"/>
      <c r="KU43" s="14"/>
      <c r="KV43" s="14"/>
      <c r="KW43" s="14"/>
      <c r="KX43" s="14"/>
      <c r="KY43" s="14"/>
      <c r="KZ43" s="14"/>
      <c r="LA43" s="14"/>
      <c r="LB43" s="14"/>
      <c r="LC43" s="14"/>
      <c r="LD43" s="14"/>
      <c r="LE43" s="14"/>
      <c r="LF43" s="14"/>
      <c r="LG43" s="14"/>
      <c r="LH43" s="14"/>
      <c r="LI43" s="14"/>
      <c r="LJ43" s="14"/>
      <c r="LK43" s="14"/>
      <c r="LL43" s="14"/>
      <c r="LM43" s="14"/>
      <c r="LN43" s="14"/>
      <c r="LO43" s="14"/>
      <c r="LP43" s="14"/>
      <c r="LQ43" s="14"/>
      <c r="LR43" s="14"/>
      <c r="LS43" s="14"/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/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/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/>
      <c r="ND43" s="14"/>
      <c r="NE43" s="14"/>
      <c r="NF43" s="14"/>
      <c r="NG43" s="14"/>
      <c r="NH43" s="14"/>
      <c r="NI43" s="33"/>
      <c r="NK43" s="39"/>
      <c r="NL43" s="48"/>
      <c r="NN43" s="76" t="str" cm="1">
        <f t="array" aca="1" ref="NN43" ca="1">IF(SUMPRODUCT((OFFSET($A43,0,31*($A$9-1)+1,1,31)&lt;&gt;"")*(IF(OFFSET($A43,0,31*($A$9-1)+1,1,31)=$NL$9,0.5,IF(OFFSET($A43,0,31*($A$9-1)+1,1,31)=$NL$8,0,1))*(OFFSET($A$9,0,31*($A$9-1)+1,1,31))))=0,"",SUMPRODUCT((OFFSET($A43,0,31*($A$9-1)+1,1,31)&lt;&gt;"")*(IF(OFFSET($A43,0,31*($A$9-1)+1,1,31)=$NL$9,0.5,IF(OFFSET($A43,0,31*($A$9-1)+1,1,31)=$NL$8,0,1))*(OFFSET($A$9,0,31*($A$9-1)+1,1,31)))))</f>
        <v/>
      </c>
      <c r="NO43" s="77" t="str" cm="1">
        <f t="array" aca="1" ref="NO43" ca="1">IF(SUMPRODUCT((OFFSET($A43,0,1,1,372)&lt;&gt;"")*(IF(OFFSET($A43,0,1,1,372)=$NL$9,0.5,IF(OFFSET($A43,0,1,1,372)=$NL$8,0,1))*(OFFSET($A$9,0,1,1,372))))=0,"",SUMPRODUCT((OFFSET($A43,0,1,1,372)&lt;&gt;"")*(IF(OFFSET($A43,0,1,1,372)=$NL$9,0.5,IF(OFFSET($A43,0,1,1,372)=$NL$8,0,1))*(OFFSET($A$9,0,1,1,372)))))</f>
        <v/>
      </c>
      <c r="NP43" s="46"/>
      <c r="NQ43" s="75" t="str">
        <f t="array" aca="1" ref="NQ43" ca="1">IF(SUMPRODUCT((OFFSET($A43,0,1,1,372)&lt;&gt;"")*(OFFSET($A$9,0,1,1,372))*((OFFSET($A43,0,1,1,372))=NL$5))=0,"",SUMPRODUCT((OFFSET($A43,0,1,1,372)&lt;&gt;"")*(OFFSET($A$9,0,1,1,372))*((OFFSET($A43,0,1,1,372))=NL$5)))</f>
        <v/>
      </c>
      <c r="NR43" s="75" t="str">
        <f t="array" aca="1" ref="NR43" ca="1">IF(SUMPRODUCT((OFFSET($A43,0,1,1,372)&lt;&gt;"")*(OFFSET($A$9,0,1,1,372))*((OFFSET($A43,0,1,1,372))=NL$6))=0,"",SUMPRODUCT((OFFSET($A43,0,1,1,372)&lt;&gt;"")*(OFFSET($A$9,0,1,1,372))*((OFFSET($A43,0,1,1,372))=NL$6)))</f>
        <v/>
      </c>
      <c r="NS43" s="75" t="str">
        <f t="array" aca="1" ref="NS43" ca="1">IF(SUMPRODUCT((OFFSET($A43,0,1,1,372)&lt;&gt;"")*(OFFSET($A$9,0,1,1,372))*((OFFSET($A43,0,1,1,372))=NL$7))=0,"",SUMPRODUCT((OFFSET($A43,0,1,1,372)&lt;&gt;"")*(OFFSET($A$9,0,1,1,372))*((OFFSET($A43,0,1,1,372))=NL$7)))</f>
        <v/>
      </c>
      <c r="NT43" s="75" t="str" cm="1">
        <f t="array" aca="1" ref="NT43" ca="1">IF(SUMPRODUCT((OFFSET($A43,0,1,1,372)&lt;&gt;"")*(OFFSET($A$9,0,1,1,372))*((OFFSET($A43,0,1,1,372))=NL$9))=0,"",SUMPRODUCT((OFFSET($A43,0,1,1,372)&lt;&gt;"")*(OFFSET($A$9,0,1,1,372))*((OFFSET($A43,0,1,1,372))=NL$9)))</f>
        <v/>
      </c>
    </row>
    <row r="44" spans="1:384" ht="15.5" x14ac:dyDescent="0.35">
      <c r="A44" s="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  <c r="KI44" s="14"/>
      <c r="KJ44" s="14"/>
      <c r="KK44" s="14"/>
      <c r="KL44" s="14"/>
      <c r="KM44" s="14"/>
      <c r="KN44" s="14"/>
      <c r="KO44" s="14"/>
      <c r="KP44" s="14"/>
      <c r="KQ44" s="14"/>
      <c r="KR44" s="14"/>
      <c r="KS44" s="14"/>
      <c r="KT44" s="14"/>
      <c r="KU44" s="14"/>
      <c r="KV44" s="14"/>
      <c r="KW44" s="14"/>
      <c r="KX44" s="14"/>
      <c r="KY44" s="14"/>
      <c r="KZ44" s="14"/>
      <c r="LA44" s="14"/>
      <c r="LB44" s="14"/>
      <c r="LC44" s="14"/>
      <c r="LD44" s="14"/>
      <c r="LE44" s="14"/>
      <c r="LF44" s="14"/>
      <c r="LG44" s="14"/>
      <c r="LH44" s="14"/>
      <c r="LI44" s="14"/>
      <c r="LJ44" s="14"/>
      <c r="LK44" s="14"/>
      <c r="LL44" s="14"/>
      <c r="LM44" s="14"/>
      <c r="LN44" s="14"/>
      <c r="LO44" s="14"/>
      <c r="LP44" s="14"/>
      <c r="LQ44" s="14"/>
      <c r="LR44" s="14"/>
      <c r="LS44" s="14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33"/>
      <c r="NK44" s="39"/>
      <c r="NL44" s="48"/>
      <c r="NN44" s="76" t="str" cm="1">
        <f t="array" aca="1" ref="NN44" ca="1">IF(SUMPRODUCT((OFFSET($A44,0,31*($A$9-1)+1,1,31)&lt;&gt;"")*(IF(OFFSET($A44,0,31*($A$9-1)+1,1,31)=$NL$9,0.5,IF(OFFSET($A44,0,31*($A$9-1)+1,1,31)=$NL$8,0,1))*(OFFSET($A$9,0,31*($A$9-1)+1,1,31))))=0,"",SUMPRODUCT((OFFSET($A44,0,31*($A$9-1)+1,1,31)&lt;&gt;"")*(IF(OFFSET($A44,0,31*($A$9-1)+1,1,31)=$NL$9,0.5,IF(OFFSET($A44,0,31*($A$9-1)+1,1,31)=$NL$8,0,1))*(OFFSET($A$9,0,31*($A$9-1)+1,1,31)))))</f>
        <v/>
      </c>
      <c r="NO44" s="77" t="str" cm="1">
        <f t="array" aca="1" ref="NO44" ca="1">IF(SUMPRODUCT((OFFSET($A44,0,1,1,372)&lt;&gt;"")*(IF(OFFSET($A44,0,1,1,372)=$NL$9,0.5,IF(OFFSET($A44,0,1,1,372)=$NL$8,0,1))*(OFFSET($A$9,0,1,1,372))))=0,"",SUMPRODUCT((OFFSET($A44,0,1,1,372)&lt;&gt;"")*(IF(OFFSET($A44,0,1,1,372)=$NL$9,0.5,IF(OFFSET($A44,0,1,1,372)=$NL$8,0,1))*(OFFSET($A$9,0,1,1,372)))))</f>
        <v/>
      </c>
      <c r="NP44" s="46"/>
      <c r="NQ44" s="75" t="str">
        <f t="array" aca="1" ref="NQ44" ca="1">IF(SUMPRODUCT((OFFSET($A44,0,1,1,372)&lt;&gt;"")*(OFFSET($A$9,0,1,1,372))*((OFFSET($A44,0,1,1,372))=NL$5))=0,"",SUMPRODUCT((OFFSET($A44,0,1,1,372)&lt;&gt;"")*(OFFSET($A$9,0,1,1,372))*((OFFSET($A44,0,1,1,372))=NL$5)))</f>
        <v/>
      </c>
      <c r="NR44" s="75" t="str">
        <f t="array" aca="1" ref="NR44" ca="1">IF(SUMPRODUCT((OFFSET($A44,0,1,1,372)&lt;&gt;"")*(OFFSET($A$9,0,1,1,372))*((OFFSET($A44,0,1,1,372))=NL$6))=0,"",SUMPRODUCT((OFFSET($A44,0,1,1,372)&lt;&gt;"")*(OFFSET($A$9,0,1,1,372))*((OFFSET($A44,0,1,1,372))=NL$6)))</f>
        <v/>
      </c>
      <c r="NS44" s="75" t="str">
        <f t="array" aca="1" ref="NS44" ca="1">IF(SUMPRODUCT((OFFSET($A44,0,1,1,372)&lt;&gt;"")*(OFFSET($A$9,0,1,1,372))*((OFFSET($A44,0,1,1,372))=NL$7))=0,"",SUMPRODUCT((OFFSET($A44,0,1,1,372)&lt;&gt;"")*(OFFSET($A$9,0,1,1,372))*((OFFSET($A44,0,1,1,372))=NL$7)))</f>
        <v/>
      </c>
      <c r="NT44" s="75" t="str" cm="1">
        <f t="array" aca="1" ref="NT44" ca="1">IF(SUMPRODUCT((OFFSET($A44,0,1,1,372)&lt;&gt;"")*(OFFSET($A$9,0,1,1,372))*((OFFSET($A44,0,1,1,372))=NL$9))=0,"",SUMPRODUCT((OFFSET($A44,0,1,1,372)&lt;&gt;"")*(OFFSET($A$9,0,1,1,372))*((OFFSET($A44,0,1,1,372))=NL$9)))</f>
        <v/>
      </c>
    </row>
    <row r="45" spans="1:384" ht="15.5" x14ac:dyDescent="0.35">
      <c r="A45" s="3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  <c r="KI45" s="14"/>
      <c r="KJ45" s="14"/>
      <c r="KK45" s="14"/>
      <c r="KL45" s="14"/>
      <c r="KM45" s="14"/>
      <c r="KN45" s="14"/>
      <c r="KO45" s="14"/>
      <c r="KP45" s="14"/>
      <c r="KQ45" s="14"/>
      <c r="KR45" s="14"/>
      <c r="KS45" s="14"/>
      <c r="KT45" s="14"/>
      <c r="KU45" s="14"/>
      <c r="KV45" s="14"/>
      <c r="KW45" s="14"/>
      <c r="KX45" s="14"/>
      <c r="KY45" s="14"/>
      <c r="KZ45" s="14"/>
      <c r="LA45" s="14"/>
      <c r="LB45" s="14"/>
      <c r="LC45" s="14"/>
      <c r="LD45" s="14"/>
      <c r="LE45" s="14"/>
      <c r="LF45" s="14"/>
      <c r="LG45" s="14"/>
      <c r="LH45" s="14"/>
      <c r="LI45" s="14"/>
      <c r="LJ45" s="14"/>
      <c r="LK45" s="14"/>
      <c r="LL45" s="14"/>
      <c r="LM45" s="14"/>
      <c r="LN45" s="14"/>
      <c r="LO45" s="14"/>
      <c r="LP45" s="14"/>
      <c r="LQ45" s="14"/>
      <c r="LR45" s="14"/>
      <c r="LS45" s="14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33"/>
      <c r="NK45" s="39"/>
      <c r="NL45" s="48"/>
      <c r="NN45" s="76" t="str" cm="1">
        <f t="array" aca="1" ref="NN45" ca="1">IF(SUMPRODUCT((OFFSET($A45,0,31*($A$9-1)+1,1,31)&lt;&gt;"")*(IF(OFFSET($A45,0,31*($A$9-1)+1,1,31)=$NL$9,0.5,IF(OFFSET($A45,0,31*($A$9-1)+1,1,31)=$NL$8,0,1))*(OFFSET($A$9,0,31*($A$9-1)+1,1,31))))=0,"",SUMPRODUCT((OFFSET($A45,0,31*($A$9-1)+1,1,31)&lt;&gt;"")*(IF(OFFSET($A45,0,31*($A$9-1)+1,1,31)=$NL$9,0.5,IF(OFFSET($A45,0,31*($A$9-1)+1,1,31)=$NL$8,0,1))*(OFFSET($A$9,0,31*($A$9-1)+1,1,31)))))</f>
        <v/>
      </c>
      <c r="NO45" s="77" t="str" cm="1">
        <f t="array" aca="1" ref="NO45" ca="1">IF(SUMPRODUCT((OFFSET($A45,0,1,1,372)&lt;&gt;"")*(IF(OFFSET($A45,0,1,1,372)=$NL$9,0.5,IF(OFFSET($A45,0,1,1,372)=$NL$8,0,1))*(OFFSET($A$9,0,1,1,372))))=0,"",SUMPRODUCT((OFFSET($A45,0,1,1,372)&lt;&gt;"")*(IF(OFFSET($A45,0,1,1,372)=$NL$9,0.5,IF(OFFSET($A45,0,1,1,372)=$NL$8,0,1))*(OFFSET($A$9,0,1,1,372)))))</f>
        <v/>
      </c>
      <c r="NP45" s="46"/>
      <c r="NQ45" s="75" t="str">
        <f t="array" aca="1" ref="NQ45" ca="1">IF(SUMPRODUCT((OFFSET($A45,0,1,1,372)&lt;&gt;"")*(OFFSET($A$9,0,1,1,372))*((OFFSET($A45,0,1,1,372))=NL$5))=0,"",SUMPRODUCT((OFFSET($A45,0,1,1,372)&lt;&gt;"")*(OFFSET($A$9,0,1,1,372))*((OFFSET($A45,0,1,1,372))=NL$5)))</f>
        <v/>
      </c>
      <c r="NR45" s="75" t="str">
        <f t="array" aca="1" ref="NR45" ca="1">IF(SUMPRODUCT((OFFSET($A45,0,1,1,372)&lt;&gt;"")*(OFFSET($A$9,0,1,1,372))*((OFFSET($A45,0,1,1,372))=NL$6))=0,"",SUMPRODUCT((OFFSET($A45,0,1,1,372)&lt;&gt;"")*(OFFSET($A$9,0,1,1,372))*((OFFSET($A45,0,1,1,372))=NL$6)))</f>
        <v/>
      </c>
      <c r="NS45" s="75" t="str">
        <f t="array" aca="1" ref="NS45" ca="1">IF(SUMPRODUCT((OFFSET($A45,0,1,1,372)&lt;&gt;"")*(OFFSET($A$9,0,1,1,372))*((OFFSET($A45,0,1,1,372))=NL$7))=0,"",SUMPRODUCT((OFFSET($A45,0,1,1,372)&lt;&gt;"")*(OFFSET($A$9,0,1,1,372))*((OFFSET($A45,0,1,1,372))=NL$7)))</f>
        <v/>
      </c>
      <c r="NT45" s="75" t="str" cm="1">
        <f t="array" aca="1" ref="NT45" ca="1">IF(SUMPRODUCT((OFFSET($A45,0,1,1,372)&lt;&gt;"")*(OFFSET($A$9,0,1,1,372))*((OFFSET($A45,0,1,1,372))=NL$9))=0,"",SUMPRODUCT((OFFSET($A45,0,1,1,372)&lt;&gt;"")*(OFFSET($A$9,0,1,1,372))*((OFFSET($A45,0,1,1,372))=NL$9)))</f>
        <v/>
      </c>
    </row>
    <row r="46" spans="1:384" ht="15.5" x14ac:dyDescent="0.35">
      <c r="A46" s="3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  <c r="KI46" s="14"/>
      <c r="KJ46" s="14"/>
      <c r="KK46" s="14"/>
      <c r="KL46" s="14"/>
      <c r="KM46" s="14"/>
      <c r="KN46" s="14"/>
      <c r="KO46" s="14"/>
      <c r="KP46" s="14"/>
      <c r="KQ46" s="14"/>
      <c r="KR46" s="14"/>
      <c r="KS46" s="14"/>
      <c r="KT46" s="14"/>
      <c r="KU46" s="14"/>
      <c r="KV46" s="14"/>
      <c r="KW46" s="14"/>
      <c r="KX46" s="14"/>
      <c r="KY46" s="14"/>
      <c r="KZ46" s="14"/>
      <c r="LA46" s="14"/>
      <c r="LB46" s="14"/>
      <c r="LC46" s="14"/>
      <c r="LD46" s="14"/>
      <c r="LE46" s="14"/>
      <c r="LF46" s="14"/>
      <c r="LG46" s="14"/>
      <c r="LH46" s="14"/>
      <c r="LI46" s="14"/>
      <c r="LJ46" s="14"/>
      <c r="LK46" s="14"/>
      <c r="LL46" s="14"/>
      <c r="LM46" s="14"/>
      <c r="LN46" s="14"/>
      <c r="LO46" s="14"/>
      <c r="LP46" s="14"/>
      <c r="LQ46" s="14"/>
      <c r="LR46" s="14"/>
      <c r="LS46" s="14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33"/>
      <c r="NK46" s="39"/>
      <c r="NL46" s="48"/>
      <c r="NN46" s="76" t="str" cm="1">
        <f t="array" aca="1" ref="NN46" ca="1">IF(SUMPRODUCT((OFFSET($A46,0,31*($A$9-1)+1,1,31)&lt;&gt;"")*(IF(OFFSET($A46,0,31*($A$9-1)+1,1,31)=$NL$9,0.5,IF(OFFSET($A46,0,31*($A$9-1)+1,1,31)=$NL$8,0,1))*(OFFSET($A$9,0,31*($A$9-1)+1,1,31))))=0,"",SUMPRODUCT((OFFSET($A46,0,31*($A$9-1)+1,1,31)&lt;&gt;"")*(IF(OFFSET($A46,0,31*($A$9-1)+1,1,31)=$NL$9,0.5,IF(OFFSET($A46,0,31*($A$9-1)+1,1,31)=$NL$8,0,1))*(OFFSET($A$9,0,31*($A$9-1)+1,1,31)))))</f>
        <v/>
      </c>
      <c r="NO46" s="77" t="str" cm="1">
        <f t="array" aca="1" ref="NO46" ca="1">IF(SUMPRODUCT((OFFSET($A46,0,1,1,372)&lt;&gt;"")*(IF(OFFSET($A46,0,1,1,372)=$NL$9,0.5,IF(OFFSET($A46,0,1,1,372)=$NL$8,0,1))*(OFFSET($A$9,0,1,1,372))))=0,"",SUMPRODUCT((OFFSET($A46,0,1,1,372)&lt;&gt;"")*(IF(OFFSET($A46,0,1,1,372)=$NL$9,0.5,IF(OFFSET($A46,0,1,1,372)=$NL$8,0,1))*(OFFSET($A$9,0,1,1,372)))))</f>
        <v/>
      </c>
      <c r="NP46" s="46"/>
      <c r="NQ46" s="75" t="str">
        <f t="array" aca="1" ref="NQ46" ca="1">IF(SUMPRODUCT((OFFSET($A46,0,1,1,372)&lt;&gt;"")*(OFFSET($A$9,0,1,1,372))*((OFFSET($A46,0,1,1,372))=NL$5))=0,"",SUMPRODUCT((OFFSET($A46,0,1,1,372)&lt;&gt;"")*(OFFSET($A$9,0,1,1,372))*((OFFSET($A46,0,1,1,372))=NL$5)))</f>
        <v/>
      </c>
      <c r="NR46" s="75" t="str">
        <f t="array" aca="1" ref="NR46" ca="1">IF(SUMPRODUCT((OFFSET($A46,0,1,1,372)&lt;&gt;"")*(OFFSET($A$9,0,1,1,372))*((OFFSET($A46,0,1,1,372))=NL$6))=0,"",SUMPRODUCT((OFFSET($A46,0,1,1,372)&lt;&gt;"")*(OFFSET($A$9,0,1,1,372))*((OFFSET($A46,0,1,1,372))=NL$6)))</f>
        <v/>
      </c>
      <c r="NS46" s="75" t="str">
        <f t="array" aca="1" ref="NS46" ca="1">IF(SUMPRODUCT((OFFSET($A46,0,1,1,372)&lt;&gt;"")*(OFFSET($A$9,0,1,1,372))*((OFFSET($A46,0,1,1,372))=NL$7))=0,"",SUMPRODUCT((OFFSET($A46,0,1,1,372)&lt;&gt;"")*(OFFSET($A$9,0,1,1,372))*((OFFSET($A46,0,1,1,372))=NL$7)))</f>
        <v/>
      </c>
      <c r="NT46" s="75" t="str" cm="1">
        <f t="array" aca="1" ref="NT46" ca="1">IF(SUMPRODUCT((OFFSET($A46,0,1,1,372)&lt;&gt;"")*(OFFSET($A$9,0,1,1,372))*((OFFSET($A46,0,1,1,372))=NL$9))=0,"",SUMPRODUCT((OFFSET($A46,0,1,1,372)&lt;&gt;"")*(OFFSET($A$9,0,1,1,372))*((OFFSET($A46,0,1,1,372))=NL$9)))</f>
        <v/>
      </c>
    </row>
    <row r="47" spans="1:384" ht="15.5" x14ac:dyDescent="0.35">
      <c r="A47" s="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  <c r="KI47" s="14"/>
      <c r="KJ47" s="14"/>
      <c r="KK47" s="14"/>
      <c r="KL47" s="14"/>
      <c r="KM47" s="14"/>
      <c r="KN47" s="14"/>
      <c r="KO47" s="14"/>
      <c r="KP47" s="14"/>
      <c r="KQ47" s="14"/>
      <c r="KR47" s="14"/>
      <c r="KS47" s="14"/>
      <c r="KT47" s="14"/>
      <c r="KU47" s="14"/>
      <c r="KV47" s="14"/>
      <c r="KW47" s="14"/>
      <c r="KX47" s="14"/>
      <c r="KY47" s="14"/>
      <c r="KZ47" s="14"/>
      <c r="LA47" s="14"/>
      <c r="LB47" s="14"/>
      <c r="LC47" s="14"/>
      <c r="LD47" s="14"/>
      <c r="LE47" s="14"/>
      <c r="LF47" s="14"/>
      <c r="LG47" s="14"/>
      <c r="LH47" s="14"/>
      <c r="LI47" s="14"/>
      <c r="LJ47" s="14"/>
      <c r="LK47" s="14"/>
      <c r="LL47" s="14"/>
      <c r="LM47" s="14"/>
      <c r="LN47" s="14"/>
      <c r="LO47" s="14"/>
      <c r="LP47" s="14"/>
      <c r="LQ47" s="14"/>
      <c r="LR47" s="14"/>
      <c r="LS47" s="14"/>
      <c r="LT47" s="14"/>
      <c r="LU47" s="14"/>
      <c r="LV47" s="14"/>
      <c r="LW47" s="14"/>
      <c r="LX47" s="14"/>
      <c r="LY47" s="14"/>
      <c r="LZ47" s="14"/>
      <c r="MA47" s="14"/>
      <c r="MB47" s="14"/>
      <c r="MC47" s="14"/>
      <c r="MD47" s="14"/>
      <c r="ME47" s="14"/>
      <c r="MF47" s="14"/>
      <c r="MG47" s="14"/>
      <c r="MH47" s="14"/>
      <c r="MI47" s="14"/>
      <c r="MJ47" s="14"/>
      <c r="MK47" s="14"/>
      <c r="ML47" s="14"/>
      <c r="MM47" s="14"/>
      <c r="MN47" s="14"/>
      <c r="MO47" s="14"/>
      <c r="MP47" s="14"/>
      <c r="MQ47" s="14"/>
      <c r="MR47" s="14"/>
      <c r="MS47" s="14"/>
      <c r="MT47" s="14"/>
      <c r="MU47" s="14"/>
      <c r="MV47" s="14"/>
      <c r="MW47" s="14"/>
      <c r="MX47" s="14"/>
      <c r="MY47" s="14"/>
      <c r="MZ47" s="14"/>
      <c r="NA47" s="14"/>
      <c r="NB47" s="14"/>
      <c r="NC47" s="14"/>
      <c r="ND47" s="14"/>
      <c r="NE47" s="14"/>
      <c r="NF47" s="14"/>
      <c r="NG47" s="14"/>
      <c r="NH47" s="14"/>
      <c r="NI47" s="33"/>
      <c r="NK47" s="39"/>
      <c r="NL47" s="48"/>
      <c r="NN47" s="76" t="str" cm="1">
        <f t="array" aca="1" ref="NN47" ca="1">IF(SUMPRODUCT((OFFSET($A47,0,31*($A$9-1)+1,1,31)&lt;&gt;"")*(IF(OFFSET($A47,0,31*($A$9-1)+1,1,31)=$NL$9,0.5,IF(OFFSET($A47,0,31*($A$9-1)+1,1,31)=$NL$8,0,1))*(OFFSET($A$9,0,31*($A$9-1)+1,1,31))))=0,"",SUMPRODUCT((OFFSET($A47,0,31*($A$9-1)+1,1,31)&lt;&gt;"")*(IF(OFFSET($A47,0,31*($A$9-1)+1,1,31)=$NL$9,0.5,IF(OFFSET($A47,0,31*($A$9-1)+1,1,31)=$NL$8,0,1))*(OFFSET($A$9,0,31*($A$9-1)+1,1,31)))))</f>
        <v/>
      </c>
      <c r="NO47" s="77" t="str" cm="1">
        <f t="array" aca="1" ref="NO47" ca="1">IF(SUMPRODUCT((OFFSET($A47,0,1,1,372)&lt;&gt;"")*(IF(OFFSET($A47,0,1,1,372)=$NL$9,0.5,IF(OFFSET($A47,0,1,1,372)=$NL$8,0,1))*(OFFSET($A$9,0,1,1,372))))=0,"",SUMPRODUCT((OFFSET($A47,0,1,1,372)&lt;&gt;"")*(IF(OFFSET($A47,0,1,1,372)=$NL$9,0.5,IF(OFFSET($A47,0,1,1,372)=$NL$8,0,1))*(OFFSET($A$9,0,1,1,372)))))</f>
        <v/>
      </c>
      <c r="NP47" s="46"/>
      <c r="NQ47" s="75" t="str">
        <f t="array" aca="1" ref="NQ47" ca="1">IF(SUMPRODUCT((OFFSET($A47,0,1,1,372)&lt;&gt;"")*(OFFSET($A$9,0,1,1,372))*((OFFSET($A47,0,1,1,372))=NL$5))=0,"",SUMPRODUCT((OFFSET($A47,0,1,1,372)&lt;&gt;"")*(OFFSET($A$9,0,1,1,372))*((OFFSET($A47,0,1,1,372))=NL$5)))</f>
        <v/>
      </c>
      <c r="NR47" s="75" t="str">
        <f t="array" aca="1" ref="NR47" ca="1">IF(SUMPRODUCT((OFFSET($A47,0,1,1,372)&lt;&gt;"")*(OFFSET($A$9,0,1,1,372))*((OFFSET($A47,0,1,1,372))=NL$6))=0,"",SUMPRODUCT((OFFSET($A47,0,1,1,372)&lt;&gt;"")*(OFFSET($A$9,0,1,1,372))*((OFFSET($A47,0,1,1,372))=NL$6)))</f>
        <v/>
      </c>
      <c r="NS47" s="75" t="str">
        <f t="array" aca="1" ref="NS47" ca="1">IF(SUMPRODUCT((OFFSET($A47,0,1,1,372)&lt;&gt;"")*(OFFSET($A$9,0,1,1,372))*((OFFSET($A47,0,1,1,372))=NL$7))=0,"",SUMPRODUCT((OFFSET($A47,0,1,1,372)&lt;&gt;"")*(OFFSET($A$9,0,1,1,372))*((OFFSET($A47,0,1,1,372))=NL$7)))</f>
        <v/>
      </c>
      <c r="NT47" s="75" t="str" cm="1">
        <f t="array" aca="1" ref="NT47" ca="1">IF(SUMPRODUCT((OFFSET($A47,0,1,1,372)&lt;&gt;"")*(OFFSET($A$9,0,1,1,372))*((OFFSET($A47,0,1,1,372))=NL$9))=0,"",SUMPRODUCT((OFFSET($A47,0,1,1,372)&lt;&gt;"")*(OFFSET($A$9,0,1,1,372))*((OFFSET($A47,0,1,1,372))=NL$9)))</f>
        <v/>
      </c>
    </row>
    <row r="48" spans="1:384" ht="15.5" x14ac:dyDescent="0.35">
      <c r="A48" s="3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  <c r="KI48" s="14"/>
      <c r="KJ48" s="14"/>
      <c r="KK48" s="14"/>
      <c r="KL48" s="14"/>
      <c r="KM48" s="14"/>
      <c r="KN48" s="14"/>
      <c r="KO48" s="14"/>
      <c r="KP48" s="14"/>
      <c r="KQ48" s="14"/>
      <c r="KR48" s="14"/>
      <c r="KS48" s="14"/>
      <c r="KT48" s="14"/>
      <c r="KU48" s="14"/>
      <c r="KV48" s="14"/>
      <c r="KW48" s="14"/>
      <c r="KX48" s="14"/>
      <c r="KY48" s="14"/>
      <c r="KZ48" s="14"/>
      <c r="LA48" s="14"/>
      <c r="LB48" s="14"/>
      <c r="LC48" s="14"/>
      <c r="LD48" s="14"/>
      <c r="LE48" s="14"/>
      <c r="LF48" s="14"/>
      <c r="LG48" s="14"/>
      <c r="LH48" s="14"/>
      <c r="LI48" s="14"/>
      <c r="LJ48" s="14"/>
      <c r="LK48" s="14"/>
      <c r="LL48" s="14"/>
      <c r="LM48" s="14"/>
      <c r="LN48" s="14"/>
      <c r="LO48" s="14"/>
      <c r="LP48" s="14"/>
      <c r="LQ48" s="14"/>
      <c r="LR48" s="14"/>
      <c r="LS48" s="14"/>
      <c r="LT48" s="14"/>
      <c r="LU48" s="14"/>
      <c r="LV48" s="14"/>
      <c r="LW48" s="14"/>
      <c r="LX48" s="14"/>
      <c r="LY48" s="14"/>
      <c r="LZ48" s="14"/>
      <c r="MA48" s="14"/>
      <c r="MB48" s="14"/>
      <c r="MC48" s="14"/>
      <c r="MD48" s="14"/>
      <c r="ME48" s="14"/>
      <c r="MF48" s="14"/>
      <c r="MG48" s="14"/>
      <c r="MH48" s="14"/>
      <c r="MI48" s="14"/>
      <c r="MJ48" s="14"/>
      <c r="MK48" s="14"/>
      <c r="ML48" s="14"/>
      <c r="MM48" s="14"/>
      <c r="MN48" s="14"/>
      <c r="MO48" s="14"/>
      <c r="MP48" s="14"/>
      <c r="MQ48" s="14"/>
      <c r="MR48" s="14"/>
      <c r="MS48" s="14"/>
      <c r="MT48" s="14"/>
      <c r="MU48" s="14"/>
      <c r="MV48" s="14"/>
      <c r="MW48" s="14"/>
      <c r="MX48" s="14"/>
      <c r="MY48" s="14"/>
      <c r="MZ48" s="14"/>
      <c r="NA48" s="14"/>
      <c r="NB48" s="14"/>
      <c r="NC48" s="14"/>
      <c r="ND48" s="14"/>
      <c r="NE48" s="14"/>
      <c r="NF48" s="14"/>
      <c r="NG48" s="14"/>
      <c r="NH48" s="14"/>
      <c r="NI48" s="33"/>
      <c r="NK48" s="39"/>
      <c r="NL48" s="48"/>
      <c r="NN48" s="76" t="str" cm="1">
        <f t="array" aca="1" ref="NN48" ca="1">IF(SUMPRODUCT((OFFSET($A48,0,31*($A$9-1)+1,1,31)&lt;&gt;"")*(IF(OFFSET($A48,0,31*($A$9-1)+1,1,31)=$NL$9,0.5,IF(OFFSET($A48,0,31*($A$9-1)+1,1,31)=$NL$8,0,1))*(OFFSET($A$9,0,31*($A$9-1)+1,1,31))))=0,"",SUMPRODUCT((OFFSET($A48,0,31*($A$9-1)+1,1,31)&lt;&gt;"")*(IF(OFFSET($A48,0,31*($A$9-1)+1,1,31)=$NL$9,0.5,IF(OFFSET($A48,0,31*($A$9-1)+1,1,31)=$NL$8,0,1))*(OFFSET($A$9,0,31*($A$9-1)+1,1,31)))))</f>
        <v/>
      </c>
      <c r="NO48" s="77" t="str" cm="1">
        <f t="array" aca="1" ref="NO48" ca="1">IF(SUMPRODUCT((OFFSET($A48,0,1,1,372)&lt;&gt;"")*(IF(OFFSET($A48,0,1,1,372)=$NL$9,0.5,IF(OFFSET($A48,0,1,1,372)=$NL$8,0,1))*(OFFSET($A$9,0,1,1,372))))=0,"",SUMPRODUCT((OFFSET($A48,0,1,1,372)&lt;&gt;"")*(IF(OFFSET($A48,0,1,1,372)=$NL$9,0.5,IF(OFFSET($A48,0,1,1,372)=$NL$8,0,1))*(OFFSET($A$9,0,1,1,372)))))</f>
        <v/>
      </c>
      <c r="NP48" s="46"/>
      <c r="NQ48" s="75" t="str">
        <f t="array" aca="1" ref="NQ48" ca="1">IF(SUMPRODUCT((OFFSET($A48,0,1,1,372)&lt;&gt;"")*(OFFSET($A$9,0,1,1,372))*((OFFSET($A48,0,1,1,372))=NL$5))=0,"",SUMPRODUCT((OFFSET($A48,0,1,1,372)&lt;&gt;"")*(OFFSET($A$9,0,1,1,372))*((OFFSET($A48,0,1,1,372))=NL$5)))</f>
        <v/>
      </c>
      <c r="NR48" s="75" t="str">
        <f t="array" aca="1" ref="NR48" ca="1">IF(SUMPRODUCT((OFFSET($A48,0,1,1,372)&lt;&gt;"")*(OFFSET($A$9,0,1,1,372))*((OFFSET($A48,0,1,1,372))=NL$6))=0,"",SUMPRODUCT((OFFSET($A48,0,1,1,372)&lt;&gt;"")*(OFFSET($A$9,0,1,1,372))*((OFFSET($A48,0,1,1,372))=NL$6)))</f>
        <v/>
      </c>
      <c r="NS48" s="75" t="str">
        <f t="array" aca="1" ref="NS48" ca="1">IF(SUMPRODUCT((OFFSET($A48,0,1,1,372)&lt;&gt;"")*(OFFSET($A$9,0,1,1,372))*((OFFSET($A48,0,1,1,372))=NL$7))=0,"",SUMPRODUCT((OFFSET($A48,0,1,1,372)&lt;&gt;"")*(OFFSET($A$9,0,1,1,372))*((OFFSET($A48,0,1,1,372))=NL$7)))</f>
        <v/>
      </c>
      <c r="NT48" s="75" t="str" cm="1">
        <f t="array" aca="1" ref="NT48" ca="1">IF(SUMPRODUCT((OFFSET($A48,0,1,1,372)&lt;&gt;"")*(OFFSET($A$9,0,1,1,372))*((OFFSET($A48,0,1,1,372))=NL$9))=0,"",SUMPRODUCT((OFFSET($A48,0,1,1,372)&lt;&gt;"")*(OFFSET($A$9,0,1,1,372))*((OFFSET($A48,0,1,1,372))=NL$9)))</f>
        <v/>
      </c>
    </row>
    <row r="49" spans="1:384" ht="15.5" x14ac:dyDescent="0.35">
      <c r="A49" s="3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  <c r="KI49" s="14"/>
      <c r="KJ49" s="14"/>
      <c r="KK49" s="14"/>
      <c r="KL49" s="14"/>
      <c r="KM49" s="14"/>
      <c r="KN49" s="14"/>
      <c r="KO49" s="14"/>
      <c r="KP49" s="14"/>
      <c r="KQ49" s="14"/>
      <c r="KR49" s="14"/>
      <c r="KS49" s="14"/>
      <c r="KT49" s="14"/>
      <c r="KU49" s="14"/>
      <c r="KV49" s="14"/>
      <c r="KW49" s="14"/>
      <c r="KX49" s="14"/>
      <c r="KY49" s="14"/>
      <c r="KZ49" s="14"/>
      <c r="LA49" s="14"/>
      <c r="LB49" s="14"/>
      <c r="LC49" s="14"/>
      <c r="LD49" s="14"/>
      <c r="LE49" s="14"/>
      <c r="LF49" s="14"/>
      <c r="LG49" s="14"/>
      <c r="LH49" s="14"/>
      <c r="LI49" s="14"/>
      <c r="LJ49" s="14"/>
      <c r="LK49" s="14"/>
      <c r="LL49" s="14"/>
      <c r="LM49" s="14"/>
      <c r="LN49" s="14"/>
      <c r="LO49" s="14"/>
      <c r="LP49" s="14"/>
      <c r="LQ49" s="14"/>
      <c r="LR49" s="14"/>
      <c r="LS49" s="14"/>
      <c r="LT49" s="14"/>
      <c r="LU49" s="14"/>
      <c r="LV49" s="14"/>
      <c r="LW49" s="14"/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/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/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/>
      <c r="NH49" s="14"/>
      <c r="NI49" s="33"/>
      <c r="NK49" s="39"/>
      <c r="NL49" s="48"/>
      <c r="NN49" s="76" t="str" cm="1">
        <f t="array" aca="1" ref="NN49" ca="1">IF(SUMPRODUCT((OFFSET($A49,0,31*($A$9-1)+1,1,31)&lt;&gt;"")*(IF(OFFSET($A49,0,31*($A$9-1)+1,1,31)=$NL$9,0.5,IF(OFFSET($A49,0,31*($A$9-1)+1,1,31)=$NL$8,0,1))*(OFFSET($A$9,0,31*($A$9-1)+1,1,31))))=0,"",SUMPRODUCT((OFFSET($A49,0,31*($A$9-1)+1,1,31)&lt;&gt;"")*(IF(OFFSET($A49,0,31*($A$9-1)+1,1,31)=$NL$9,0.5,IF(OFFSET($A49,0,31*($A$9-1)+1,1,31)=$NL$8,0,1))*(OFFSET($A$9,0,31*($A$9-1)+1,1,31)))))</f>
        <v/>
      </c>
      <c r="NO49" s="77" t="str" cm="1">
        <f t="array" aca="1" ref="NO49" ca="1">IF(SUMPRODUCT((OFFSET($A49,0,1,1,372)&lt;&gt;"")*(IF(OFFSET($A49,0,1,1,372)=$NL$9,0.5,IF(OFFSET($A49,0,1,1,372)=$NL$8,0,1))*(OFFSET($A$9,0,1,1,372))))=0,"",SUMPRODUCT((OFFSET($A49,0,1,1,372)&lt;&gt;"")*(IF(OFFSET($A49,0,1,1,372)=$NL$9,0.5,IF(OFFSET($A49,0,1,1,372)=$NL$8,0,1))*(OFFSET($A$9,0,1,1,372)))))</f>
        <v/>
      </c>
      <c r="NP49" s="46"/>
      <c r="NQ49" s="75" t="str">
        <f t="array" aca="1" ref="NQ49" ca="1">IF(SUMPRODUCT((OFFSET($A49,0,1,1,372)&lt;&gt;"")*(OFFSET($A$9,0,1,1,372))*((OFFSET($A49,0,1,1,372))=NL$5))=0,"",SUMPRODUCT((OFFSET($A49,0,1,1,372)&lt;&gt;"")*(OFFSET($A$9,0,1,1,372))*((OFFSET($A49,0,1,1,372))=NL$5)))</f>
        <v/>
      </c>
      <c r="NR49" s="75" t="str">
        <f t="array" aca="1" ref="NR49" ca="1">IF(SUMPRODUCT((OFFSET($A49,0,1,1,372)&lt;&gt;"")*(OFFSET($A$9,0,1,1,372))*((OFFSET($A49,0,1,1,372))=NL$6))=0,"",SUMPRODUCT((OFFSET($A49,0,1,1,372)&lt;&gt;"")*(OFFSET($A$9,0,1,1,372))*((OFFSET($A49,0,1,1,372))=NL$6)))</f>
        <v/>
      </c>
      <c r="NS49" s="75" t="str">
        <f t="array" aca="1" ref="NS49" ca="1">IF(SUMPRODUCT((OFFSET($A49,0,1,1,372)&lt;&gt;"")*(OFFSET($A$9,0,1,1,372))*((OFFSET($A49,0,1,1,372))=NL$7))=0,"",SUMPRODUCT((OFFSET($A49,0,1,1,372)&lt;&gt;"")*(OFFSET($A$9,0,1,1,372))*((OFFSET($A49,0,1,1,372))=NL$7)))</f>
        <v/>
      </c>
      <c r="NT49" s="75" t="str" cm="1">
        <f t="array" aca="1" ref="NT49" ca="1">IF(SUMPRODUCT((OFFSET($A49,0,1,1,372)&lt;&gt;"")*(OFFSET($A$9,0,1,1,372))*((OFFSET($A49,0,1,1,372))=NL$9))=0,"",SUMPRODUCT((OFFSET($A49,0,1,1,372)&lt;&gt;"")*(OFFSET($A$9,0,1,1,372))*((OFFSET($A49,0,1,1,372))=NL$9)))</f>
        <v/>
      </c>
    </row>
    <row r="50" spans="1:384" ht="15.5" x14ac:dyDescent="0.35">
      <c r="A50" s="3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  <c r="KI50" s="14"/>
      <c r="KJ50" s="14"/>
      <c r="KK50" s="14"/>
      <c r="KL50" s="14"/>
      <c r="KM50" s="14"/>
      <c r="KN50" s="14"/>
      <c r="KO50" s="14"/>
      <c r="KP50" s="14"/>
      <c r="KQ50" s="14"/>
      <c r="KR50" s="14"/>
      <c r="KS50" s="14"/>
      <c r="KT50" s="14"/>
      <c r="KU50" s="14"/>
      <c r="KV50" s="14"/>
      <c r="KW50" s="14"/>
      <c r="KX50" s="14"/>
      <c r="KY50" s="14"/>
      <c r="KZ50" s="14"/>
      <c r="LA50" s="14"/>
      <c r="LB50" s="14"/>
      <c r="LC50" s="14"/>
      <c r="LD50" s="14"/>
      <c r="LE50" s="14"/>
      <c r="LF50" s="14"/>
      <c r="LG50" s="14"/>
      <c r="LH50" s="14"/>
      <c r="LI50" s="14"/>
      <c r="LJ50" s="14"/>
      <c r="LK50" s="14"/>
      <c r="LL50" s="14"/>
      <c r="LM50" s="14"/>
      <c r="LN50" s="14"/>
      <c r="LO50" s="14"/>
      <c r="LP50" s="14"/>
      <c r="LQ50" s="14"/>
      <c r="LR50" s="14"/>
      <c r="LS50" s="14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33"/>
      <c r="NK50" s="39"/>
      <c r="NL50" s="48"/>
      <c r="NN50" s="76" t="str" cm="1">
        <f t="array" aca="1" ref="NN50" ca="1">IF(SUMPRODUCT((OFFSET($A50,0,31*($A$9-1)+1,1,31)&lt;&gt;"")*(IF(OFFSET($A50,0,31*($A$9-1)+1,1,31)=$NL$9,0.5,IF(OFFSET($A50,0,31*($A$9-1)+1,1,31)=$NL$8,0,1))*(OFFSET($A$9,0,31*($A$9-1)+1,1,31))))=0,"",SUMPRODUCT((OFFSET($A50,0,31*($A$9-1)+1,1,31)&lt;&gt;"")*(IF(OFFSET($A50,0,31*($A$9-1)+1,1,31)=$NL$9,0.5,IF(OFFSET($A50,0,31*($A$9-1)+1,1,31)=$NL$8,0,1))*(OFFSET($A$9,0,31*($A$9-1)+1,1,31)))))</f>
        <v/>
      </c>
      <c r="NO50" s="77" t="str" cm="1">
        <f t="array" aca="1" ref="NO50" ca="1">IF(SUMPRODUCT((OFFSET($A50,0,1,1,372)&lt;&gt;"")*(IF(OFFSET($A50,0,1,1,372)=$NL$9,0.5,IF(OFFSET($A50,0,1,1,372)=$NL$8,0,1))*(OFFSET($A$9,0,1,1,372))))=0,"",SUMPRODUCT((OFFSET($A50,0,1,1,372)&lt;&gt;"")*(IF(OFFSET($A50,0,1,1,372)=$NL$9,0.5,IF(OFFSET($A50,0,1,1,372)=$NL$8,0,1))*(OFFSET($A$9,0,1,1,372)))))</f>
        <v/>
      </c>
      <c r="NP50" s="46"/>
      <c r="NQ50" s="75" t="str">
        <f t="array" aca="1" ref="NQ50" ca="1">IF(SUMPRODUCT((OFFSET($A50,0,1,1,372)&lt;&gt;"")*(OFFSET($A$9,0,1,1,372))*((OFFSET($A50,0,1,1,372))=NL$5))=0,"",SUMPRODUCT((OFFSET($A50,0,1,1,372)&lt;&gt;"")*(OFFSET($A$9,0,1,1,372))*((OFFSET($A50,0,1,1,372))=NL$5)))</f>
        <v/>
      </c>
      <c r="NR50" s="75" t="str">
        <f t="array" aca="1" ref="NR50" ca="1">IF(SUMPRODUCT((OFFSET($A50,0,1,1,372)&lt;&gt;"")*(OFFSET($A$9,0,1,1,372))*((OFFSET($A50,0,1,1,372))=NL$6))=0,"",SUMPRODUCT((OFFSET($A50,0,1,1,372)&lt;&gt;"")*(OFFSET($A$9,0,1,1,372))*((OFFSET($A50,0,1,1,372))=NL$6)))</f>
        <v/>
      </c>
      <c r="NS50" s="75" t="str">
        <f t="array" aca="1" ref="NS50" ca="1">IF(SUMPRODUCT((OFFSET($A50,0,1,1,372)&lt;&gt;"")*(OFFSET($A$9,0,1,1,372))*((OFFSET($A50,0,1,1,372))=NL$7))=0,"",SUMPRODUCT((OFFSET($A50,0,1,1,372)&lt;&gt;"")*(OFFSET($A$9,0,1,1,372))*((OFFSET($A50,0,1,1,372))=NL$7)))</f>
        <v/>
      </c>
      <c r="NT50" s="75" t="str" cm="1">
        <f t="array" aca="1" ref="NT50" ca="1">IF(SUMPRODUCT((OFFSET($A50,0,1,1,372)&lt;&gt;"")*(OFFSET($A$9,0,1,1,372))*((OFFSET($A50,0,1,1,372))=NL$9))=0,"",SUMPRODUCT((OFFSET($A50,0,1,1,372)&lt;&gt;"")*(OFFSET($A$9,0,1,1,372))*((OFFSET($A50,0,1,1,372))=NL$9)))</f>
        <v/>
      </c>
    </row>
    <row r="51" spans="1:384" ht="15.5" x14ac:dyDescent="0.35">
      <c r="A51" s="3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  <c r="KI51" s="14"/>
      <c r="KJ51" s="14"/>
      <c r="KK51" s="14"/>
      <c r="KL51" s="14"/>
      <c r="KM51" s="14"/>
      <c r="KN51" s="14"/>
      <c r="KO51" s="14"/>
      <c r="KP51" s="14"/>
      <c r="KQ51" s="14"/>
      <c r="KR51" s="14"/>
      <c r="KS51" s="14"/>
      <c r="KT51" s="14"/>
      <c r="KU51" s="14"/>
      <c r="KV51" s="14"/>
      <c r="KW51" s="14"/>
      <c r="KX51" s="14"/>
      <c r="KY51" s="14"/>
      <c r="KZ51" s="14"/>
      <c r="LA51" s="14"/>
      <c r="LB51" s="14"/>
      <c r="LC51" s="14"/>
      <c r="LD51" s="14"/>
      <c r="LE51" s="14"/>
      <c r="LF51" s="14"/>
      <c r="LG51" s="14"/>
      <c r="LH51" s="14"/>
      <c r="LI51" s="14"/>
      <c r="LJ51" s="14"/>
      <c r="LK51" s="14"/>
      <c r="LL51" s="14"/>
      <c r="LM51" s="14"/>
      <c r="LN51" s="14"/>
      <c r="LO51" s="14"/>
      <c r="LP51" s="14"/>
      <c r="LQ51" s="14"/>
      <c r="LR51" s="14"/>
      <c r="LS51" s="14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33"/>
      <c r="NK51" s="39"/>
      <c r="NL51" s="48"/>
      <c r="NN51" s="76" t="str" cm="1">
        <f t="array" aca="1" ref="NN51" ca="1">IF(SUMPRODUCT((OFFSET($A51,0,31*($A$9-1)+1,1,31)&lt;&gt;"")*(IF(OFFSET($A51,0,31*($A$9-1)+1,1,31)=$NL$9,0.5,IF(OFFSET($A51,0,31*($A$9-1)+1,1,31)=$NL$8,0,1))*(OFFSET($A$9,0,31*($A$9-1)+1,1,31))))=0,"",SUMPRODUCT((OFFSET($A51,0,31*($A$9-1)+1,1,31)&lt;&gt;"")*(IF(OFFSET($A51,0,31*($A$9-1)+1,1,31)=$NL$9,0.5,IF(OFFSET($A51,0,31*($A$9-1)+1,1,31)=$NL$8,0,1))*(OFFSET($A$9,0,31*($A$9-1)+1,1,31)))))</f>
        <v/>
      </c>
      <c r="NO51" s="77" t="str" cm="1">
        <f t="array" aca="1" ref="NO51" ca="1">IF(SUMPRODUCT((OFFSET($A51,0,1,1,372)&lt;&gt;"")*(IF(OFFSET($A51,0,1,1,372)=$NL$9,0.5,IF(OFFSET($A51,0,1,1,372)=$NL$8,0,1))*(OFFSET($A$9,0,1,1,372))))=0,"",SUMPRODUCT((OFFSET($A51,0,1,1,372)&lt;&gt;"")*(IF(OFFSET($A51,0,1,1,372)=$NL$9,0.5,IF(OFFSET($A51,0,1,1,372)=$NL$8,0,1))*(OFFSET($A$9,0,1,1,372)))))</f>
        <v/>
      </c>
      <c r="NP51" s="46"/>
      <c r="NQ51" s="75" t="str">
        <f t="array" aca="1" ref="NQ51" ca="1">IF(SUMPRODUCT((OFFSET($A51,0,1,1,372)&lt;&gt;"")*(OFFSET($A$9,0,1,1,372))*((OFFSET($A51,0,1,1,372))=NL$5))=0,"",SUMPRODUCT((OFFSET($A51,0,1,1,372)&lt;&gt;"")*(OFFSET($A$9,0,1,1,372))*((OFFSET($A51,0,1,1,372))=NL$5)))</f>
        <v/>
      </c>
      <c r="NR51" s="75" t="str">
        <f t="array" aca="1" ref="NR51" ca="1">IF(SUMPRODUCT((OFFSET($A51,0,1,1,372)&lt;&gt;"")*(OFFSET($A$9,0,1,1,372))*((OFFSET($A51,0,1,1,372))=NL$6))=0,"",SUMPRODUCT((OFFSET($A51,0,1,1,372)&lt;&gt;"")*(OFFSET($A$9,0,1,1,372))*((OFFSET($A51,0,1,1,372))=NL$6)))</f>
        <v/>
      </c>
      <c r="NS51" s="75" t="str">
        <f t="array" aca="1" ref="NS51" ca="1">IF(SUMPRODUCT((OFFSET($A51,0,1,1,372)&lt;&gt;"")*(OFFSET($A$9,0,1,1,372))*((OFFSET($A51,0,1,1,372))=NL$7))=0,"",SUMPRODUCT((OFFSET($A51,0,1,1,372)&lt;&gt;"")*(OFFSET($A$9,0,1,1,372))*((OFFSET($A51,0,1,1,372))=NL$7)))</f>
        <v/>
      </c>
      <c r="NT51" s="75" t="str" cm="1">
        <f t="array" aca="1" ref="NT51" ca="1">IF(SUMPRODUCT((OFFSET($A51,0,1,1,372)&lt;&gt;"")*(OFFSET($A$9,0,1,1,372))*((OFFSET($A51,0,1,1,372))=NL$9))=0,"",SUMPRODUCT((OFFSET($A51,0,1,1,372)&lt;&gt;"")*(OFFSET($A$9,0,1,1,372))*((OFFSET($A51,0,1,1,372))=NL$9)))</f>
        <v/>
      </c>
    </row>
    <row r="52" spans="1:384" ht="15.5" x14ac:dyDescent="0.35">
      <c r="A52" s="3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  <c r="KI52" s="14"/>
      <c r="KJ52" s="14"/>
      <c r="KK52" s="14"/>
      <c r="KL52" s="14"/>
      <c r="KM52" s="14"/>
      <c r="KN52" s="14"/>
      <c r="KO52" s="14"/>
      <c r="KP52" s="14"/>
      <c r="KQ52" s="14"/>
      <c r="KR52" s="14"/>
      <c r="KS52" s="14"/>
      <c r="KT52" s="14"/>
      <c r="KU52" s="14"/>
      <c r="KV52" s="14"/>
      <c r="KW52" s="14"/>
      <c r="KX52" s="14"/>
      <c r="KY52" s="14"/>
      <c r="KZ52" s="14"/>
      <c r="LA52" s="14"/>
      <c r="LB52" s="14"/>
      <c r="LC52" s="14"/>
      <c r="LD52" s="14"/>
      <c r="LE52" s="14"/>
      <c r="LF52" s="14"/>
      <c r="LG52" s="14"/>
      <c r="LH52" s="14"/>
      <c r="LI52" s="14"/>
      <c r="LJ52" s="14"/>
      <c r="LK52" s="14"/>
      <c r="LL52" s="14"/>
      <c r="LM52" s="14"/>
      <c r="LN52" s="14"/>
      <c r="LO52" s="14"/>
      <c r="LP52" s="14"/>
      <c r="LQ52" s="14"/>
      <c r="LR52" s="14"/>
      <c r="LS52" s="14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33"/>
      <c r="NK52" s="39"/>
      <c r="NL52" s="48"/>
      <c r="NN52" s="76" t="str" cm="1">
        <f t="array" aca="1" ref="NN52" ca="1">IF(SUMPRODUCT((OFFSET($A52,0,31*($A$9-1)+1,1,31)&lt;&gt;"")*(IF(OFFSET($A52,0,31*($A$9-1)+1,1,31)=$NL$9,0.5,IF(OFFSET($A52,0,31*($A$9-1)+1,1,31)=$NL$8,0,1))*(OFFSET($A$9,0,31*($A$9-1)+1,1,31))))=0,"",SUMPRODUCT((OFFSET($A52,0,31*($A$9-1)+1,1,31)&lt;&gt;"")*(IF(OFFSET($A52,0,31*($A$9-1)+1,1,31)=$NL$9,0.5,IF(OFFSET($A52,0,31*($A$9-1)+1,1,31)=$NL$8,0,1))*(OFFSET($A$9,0,31*($A$9-1)+1,1,31)))))</f>
        <v/>
      </c>
      <c r="NO52" s="77" t="str" cm="1">
        <f t="array" aca="1" ref="NO52" ca="1">IF(SUMPRODUCT((OFFSET($A52,0,1,1,372)&lt;&gt;"")*(IF(OFFSET($A52,0,1,1,372)=$NL$9,0.5,IF(OFFSET($A52,0,1,1,372)=$NL$8,0,1))*(OFFSET($A$9,0,1,1,372))))=0,"",SUMPRODUCT((OFFSET($A52,0,1,1,372)&lt;&gt;"")*(IF(OFFSET($A52,0,1,1,372)=$NL$9,0.5,IF(OFFSET($A52,0,1,1,372)=$NL$8,0,1))*(OFFSET($A$9,0,1,1,372)))))</f>
        <v/>
      </c>
      <c r="NP52" s="46"/>
      <c r="NQ52" s="75" t="str">
        <f t="array" aca="1" ref="NQ52" ca="1">IF(SUMPRODUCT((OFFSET($A52,0,1,1,372)&lt;&gt;"")*(OFFSET($A$9,0,1,1,372))*((OFFSET($A52,0,1,1,372))=NL$5))=0,"",SUMPRODUCT((OFFSET($A52,0,1,1,372)&lt;&gt;"")*(OFFSET($A$9,0,1,1,372))*((OFFSET($A52,0,1,1,372))=NL$5)))</f>
        <v/>
      </c>
      <c r="NR52" s="75" t="str">
        <f t="array" aca="1" ref="NR52" ca="1">IF(SUMPRODUCT((OFFSET($A52,0,1,1,372)&lt;&gt;"")*(OFFSET($A$9,0,1,1,372))*((OFFSET($A52,0,1,1,372))=NL$6))=0,"",SUMPRODUCT((OFFSET($A52,0,1,1,372)&lt;&gt;"")*(OFFSET($A$9,0,1,1,372))*((OFFSET($A52,0,1,1,372))=NL$6)))</f>
        <v/>
      </c>
      <c r="NS52" s="75" t="str">
        <f t="array" aca="1" ref="NS52" ca="1">IF(SUMPRODUCT((OFFSET($A52,0,1,1,372)&lt;&gt;"")*(OFFSET($A$9,0,1,1,372))*((OFFSET($A52,0,1,1,372))=NL$7))=0,"",SUMPRODUCT((OFFSET($A52,0,1,1,372)&lt;&gt;"")*(OFFSET($A$9,0,1,1,372))*((OFFSET($A52,0,1,1,372))=NL$7)))</f>
        <v/>
      </c>
      <c r="NT52" s="75" t="str" cm="1">
        <f t="array" aca="1" ref="NT52" ca="1">IF(SUMPRODUCT((OFFSET($A52,0,1,1,372)&lt;&gt;"")*(OFFSET($A$9,0,1,1,372))*((OFFSET($A52,0,1,1,372))=NL$9))=0,"",SUMPRODUCT((OFFSET($A52,0,1,1,372)&lt;&gt;"")*(OFFSET($A$9,0,1,1,372))*((OFFSET($A52,0,1,1,372))=NL$9)))</f>
        <v/>
      </c>
    </row>
    <row r="53" spans="1:384" ht="15.5" x14ac:dyDescent="0.35">
      <c r="A53" s="3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  <c r="KI53" s="14"/>
      <c r="KJ53" s="14"/>
      <c r="KK53" s="14"/>
      <c r="KL53" s="14"/>
      <c r="KM53" s="14"/>
      <c r="KN53" s="14"/>
      <c r="KO53" s="14"/>
      <c r="KP53" s="14"/>
      <c r="KQ53" s="14"/>
      <c r="KR53" s="14"/>
      <c r="KS53" s="14"/>
      <c r="KT53" s="14"/>
      <c r="KU53" s="14"/>
      <c r="KV53" s="14"/>
      <c r="KW53" s="14"/>
      <c r="KX53" s="14"/>
      <c r="KY53" s="14"/>
      <c r="KZ53" s="14"/>
      <c r="LA53" s="14"/>
      <c r="LB53" s="14"/>
      <c r="LC53" s="14"/>
      <c r="LD53" s="14"/>
      <c r="LE53" s="14"/>
      <c r="LF53" s="14"/>
      <c r="LG53" s="14"/>
      <c r="LH53" s="14"/>
      <c r="LI53" s="14"/>
      <c r="LJ53" s="14"/>
      <c r="LK53" s="14"/>
      <c r="LL53" s="14"/>
      <c r="LM53" s="14"/>
      <c r="LN53" s="14"/>
      <c r="LO53" s="14"/>
      <c r="LP53" s="14"/>
      <c r="LQ53" s="14"/>
      <c r="LR53" s="14"/>
      <c r="LS53" s="14"/>
      <c r="LT53" s="14"/>
      <c r="LU53" s="14"/>
      <c r="LV53" s="14"/>
      <c r="LW53" s="14"/>
      <c r="LX53" s="14"/>
      <c r="LY53" s="14"/>
      <c r="LZ53" s="14"/>
      <c r="MA53" s="14"/>
      <c r="MB53" s="14"/>
      <c r="MC53" s="14"/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/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/>
      <c r="NB53" s="14"/>
      <c r="NC53" s="14"/>
      <c r="ND53" s="14"/>
      <c r="NE53" s="14"/>
      <c r="NF53" s="14"/>
      <c r="NG53" s="14"/>
      <c r="NH53" s="14"/>
      <c r="NI53" s="33"/>
      <c r="NK53" s="39"/>
      <c r="NL53" s="48"/>
      <c r="NN53" s="76" t="str" cm="1">
        <f t="array" aca="1" ref="NN53" ca="1">IF(SUMPRODUCT((OFFSET($A53,0,31*($A$9-1)+1,1,31)&lt;&gt;"")*(IF(OFFSET($A53,0,31*($A$9-1)+1,1,31)=$NL$9,0.5,IF(OFFSET($A53,0,31*($A$9-1)+1,1,31)=$NL$8,0,1))*(OFFSET($A$9,0,31*($A$9-1)+1,1,31))))=0,"",SUMPRODUCT((OFFSET($A53,0,31*($A$9-1)+1,1,31)&lt;&gt;"")*(IF(OFFSET($A53,0,31*($A$9-1)+1,1,31)=$NL$9,0.5,IF(OFFSET($A53,0,31*($A$9-1)+1,1,31)=$NL$8,0,1))*(OFFSET($A$9,0,31*($A$9-1)+1,1,31)))))</f>
        <v/>
      </c>
      <c r="NO53" s="77" t="str" cm="1">
        <f t="array" aca="1" ref="NO53" ca="1">IF(SUMPRODUCT((OFFSET($A53,0,1,1,372)&lt;&gt;"")*(IF(OFFSET($A53,0,1,1,372)=$NL$9,0.5,IF(OFFSET($A53,0,1,1,372)=$NL$8,0,1))*(OFFSET($A$9,0,1,1,372))))=0,"",SUMPRODUCT((OFFSET($A53,0,1,1,372)&lt;&gt;"")*(IF(OFFSET($A53,0,1,1,372)=$NL$9,0.5,IF(OFFSET($A53,0,1,1,372)=$NL$8,0,1))*(OFFSET($A$9,0,1,1,372)))))</f>
        <v/>
      </c>
      <c r="NP53" s="46"/>
      <c r="NQ53" s="75" t="str">
        <f t="array" aca="1" ref="NQ53" ca="1">IF(SUMPRODUCT((OFFSET($A53,0,1,1,372)&lt;&gt;"")*(OFFSET($A$9,0,1,1,372))*((OFFSET($A53,0,1,1,372))=NL$5))=0,"",SUMPRODUCT((OFFSET($A53,0,1,1,372)&lt;&gt;"")*(OFFSET($A$9,0,1,1,372))*((OFFSET($A53,0,1,1,372))=NL$5)))</f>
        <v/>
      </c>
      <c r="NR53" s="75" t="str">
        <f t="array" aca="1" ref="NR53" ca="1">IF(SUMPRODUCT((OFFSET($A53,0,1,1,372)&lt;&gt;"")*(OFFSET($A$9,0,1,1,372))*((OFFSET($A53,0,1,1,372))=NL$6))=0,"",SUMPRODUCT((OFFSET($A53,0,1,1,372)&lt;&gt;"")*(OFFSET($A$9,0,1,1,372))*((OFFSET($A53,0,1,1,372))=NL$6)))</f>
        <v/>
      </c>
      <c r="NS53" s="75" t="str">
        <f t="array" aca="1" ref="NS53" ca="1">IF(SUMPRODUCT((OFFSET($A53,0,1,1,372)&lt;&gt;"")*(OFFSET($A$9,0,1,1,372))*((OFFSET($A53,0,1,1,372))=NL$7))=0,"",SUMPRODUCT((OFFSET($A53,0,1,1,372)&lt;&gt;"")*(OFFSET($A$9,0,1,1,372))*((OFFSET($A53,0,1,1,372))=NL$7)))</f>
        <v/>
      </c>
      <c r="NT53" s="75" t="str" cm="1">
        <f t="array" aca="1" ref="NT53" ca="1">IF(SUMPRODUCT((OFFSET($A53,0,1,1,372)&lt;&gt;"")*(OFFSET($A$9,0,1,1,372))*((OFFSET($A53,0,1,1,372))=NL$9))=0,"",SUMPRODUCT((OFFSET($A53,0,1,1,372)&lt;&gt;"")*(OFFSET($A$9,0,1,1,372))*((OFFSET($A53,0,1,1,372))=NL$9)))</f>
        <v/>
      </c>
    </row>
    <row r="54" spans="1:384" ht="15.5" x14ac:dyDescent="0.35">
      <c r="A54" s="3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  <c r="KI54" s="14"/>
      <c r="KJ54" s="14"/>
      <c r="KK54" s="14"/>
      <c r="KL54" s="14"/>
      <c r="KM54" s="14"/>
      <c r="KN54" s="14"/>
      <c r="KO54" s="14"/>
      <c r="KP54" s="14"/>
      <c r="KQ54" s="14"/>
      <c r="KR54" s="14"/>
      <c r="KS54" s="14"/>
      <c r="KT54" s="14"/>
      <c r="KU54" s="14"/>
      <c r="KV54" s="14"/>
      <c r="KW54" s="14"/>
      <c r="KX54" s="14"/>
      <c r="KY54" s="14"/>
      <c r="KZ54" s="14"/>
      <c r="LA54" s="14"/>
      <c r="LB54" s="14"/>
      <c r="LC54" s="14"/>
      <c r="LD54" s="14"/>
      <c r="LE54" s="14"/>
      <c r="LF54" s="14"/>
      <c r="LG54" s="14"/>
      <c r="LH54" s="14"/>
      <c r="LI54" s="14"/>
      <c r="LJ54" s="14"/>
      <c r="LK54" s="14"/>
      <c r="LL54" s="14"/>
      <c r="LM54" s="14"/>
      <c r="LN54" s="14"/>
      <c r="LO54" s="14"/>
      <c r="LP54" s="14"/>
      <c r="LQ54" s="14"/>
      <c r="LR54" s="14"/>
      <c r="LS54" s="14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33"/>
      <c r="NK54" s="39"/>
      <c r="NL54" s="48"/>
      <c r="NN54" s="76" t="str" cm="1">
        <f t="array" aca="1" ref="NN54" ca="1">IF(SUMPRODUCT((OFFSET($A54,0,31*($A$9-1)+1,1,31)&lt;&gt;"")*(IF(OFFSET($A54,0,31*($A$9-1)+1,1,31)=$NL$9,0.5,IF(OFFSET($A54,0,31*($A$9-1)+1,1,31)=$NL$8,0,1))*(OFFSET($A$9,0,31*($A$9-1)+1,1,31))))=0,"",SUMPRODUCT((OFFSET($A54,0,31*($A$9-1)+1,1,31)&lt;&gt;"")*(IF(OFFSET($A54,0,31*($A$9-1)+1,1,31)=$NL$9,0.5,IF(OFFSET($A54,0,31*($A$9-1)+1,1,31)=$NL$8,0,1))*(OFFSET($A$9,0,31*($A$9-1)+1,1,31)))))</f>
        <v/>
      </c>
      <c r="NO54" s="77" t="str" cm="1">
        <f t="array" aca="1" ref="NO54" ca="1">IF(SUMPRODUCT((OFFSET($A54,0,1,1,372)&lt;&gt;"")*(IF(OFFSET($A54,0,1,1,372)=$NL$9,0.5,IF(OFFSET($A54,0,1,1,372)=$NL$8,0,1))*(OFFSET($A$9,0,1,1,372))))=0,"",SUMPRODUCT((OFFSET($A54,0,1,1,372)&lt;&gt;"")*(IF(OFFSET($A54,0,1,1,372)=$NL$9,0.5,IF(OFFSET($A54,0,1,1,372)=$NL$8,0,1))*(OFFSET($A$9,0,1,1,372)))))</f>
        <v/>
      </c>
      <c r="NP54" s="46"/>
      <c r="NQ54" s="75" t="str">
        <f t="array" aca="1" ref="NQ54" ca="1">IF(SUMPRODUCT((OFFSET($A54,0,1,1,372)&lt;&gt;"")*(OFFSET($A$9,0,1,1,372))*((OFFSET($A54,0,1,1,372))=NL$5))=0,"",SUMPRODUCT((OFFSET($A54,0,1,1,372)&lt;&gt;"")*(OFFSET($A$9,0,1,1,372))*((OFFSET($A54,0,1,1,372))=NL$5)))</f>
        <v/>
      </c>
      <c r="NR54" s="75" t="str">
        <f t="array" aca="1" ref="NR54" ca="1">IF(SUMPRODUCT((OFFSET($A54,0,1,1,372)&lt;&gt;"")*(OFFSET($A$9,0,1,1,372))*((OFFSET($A54,0,1,1,372))=NL$6))=0,"",SUMPRODUCT((OFFSET($A54,0,1,1,372)&lt;&gt;"")*(OFFSET($A$9,0,1,1,372))*((OFFSET($A54,0,1,1,372))=NL$6)))</f>
        <v/>
      </c>
      <c r="NS54" s="75" t="str">
        <f t="array" aca="1" ref="NS54" ca="1">IF(SUMPRODUCT((OFFSET($A54,0,1,1,372)&lt;&gt;"")*(OFFSET($A$9,0,1,1,372))*((OFFSET($A54,0,1,1,372))=NL$7))=0,"",SUMPRODUCT((OFFSET($A54,0,1,1,372)&lt;&gt;"")*(OFFSET($A$9,0,1,1,372))*((OFFSET($A54,0,1,1,372))=NL$7)))</f>
        <v/>
      </c>
      <c r="NT54" s="75" t="str" cm="1">
        <f t="array" aca="1" ref="NT54" ca="1">IF(SUMPRODUCT((OFFSET($A54,0,1,1,372)&lt;&gt;"")*(OFFSET($A$9,0,1,1,372))*((OFFSET($A54,0,1,1,372))=NL$9))=0,"",SUMPRODUCT((OFFSET($A54,0,1,1,372)&lt;&gt;"")*(OFFSET($A$9,0,1,1,372))*((OFFSET($A54,0,1,1,372))=NL$9)))</f>
        <v/>
      </c>
    </row>
    <row r="55" spans="1:384" ht="15.5" x14ac:dyDescent="0.35">
      <c r="A55" s="3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  <c r="KI55" s="14"/>
      <c r="KJ55" s="14"/>
      <c r="KK55" s="14"/>
      <c r="KL55" s="14"/>
      <c r="KM55" s="14"/>
      <c r="KN55" s="14"/>
      <c r="KO55" s="14"/>
      <c r="KP55" s="14"/>
      <c r="KQ55" s="14"/>
      <c r="KR55" s="14"/>
      <c r="KS55" s="14"/>
      <c r="KT55" s="14"/>
      <c r="KU55" s="14"/>
      <c r="KV55" s="14"/>
      <c r="KW55" s="14"/>
      <c r="KX55" s="14"/>
      <c r="KY55" s="14"/>
      <c r="KZ55" s="14"/>
      <c r="LA55" s="14"/>
      <c r="LB55" s="14"/>
      <c r="LC55" s="14"/>
      <c r="LD55" s="14"/>
      <c r="LE55" s="14"/>
      <c r="LF55" s="14"/>
      <c r="LG55" s="14"/>
      <c r="LH55" s="14"/>
      <c r="LI55" s="14"/>
      <c r="LJ55" s="14"/>
      <c r="LK55" s="14"/>
      <c r="LL55" s="14"/>
      <c r="LM55" s="14"/>
      <c r="LN55" s="14"/>
      <c r="LO55" s="14"/>
      <c r="LP55" s="14"/>
      <c r="LQ55" s="14"/>
      <c r="LR55" s="14"/>
      <c r="LS55" s="14"/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/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/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/>
      <c r="ND55" s="14"/>
      <c r="NE55" s="14"/>
      <c r="NF55" s="14"/>
      <c r="NG55" s="14"/>
      <c r="NH55" s="14"/>
      <c r="NI55" s="33"/>
      <c r="NK55" s="39"/>
      <c r="NL55" s="48"/>
      <c r="NN55" s="76" t="str" cm="1">
        <f t="array" aca="1" ref="NN55" ca="1">IF(SUMPRODUCT((OFFSET($A55,0,31*($A$9-1)+1,1,31)&lt;&gt;"")*(IF(OFFSET($A55,0,31*($A$9-1)+1,1,31)=$NL$9,0.5,IF(OFFSET($A55,0,31*($A$9-1)+1,1,31)=$NL$8,0,1))*(OFFSET($A$9,0,31*($A$9-1)+1,1,31))))=0,"",SUMPRODUCT((OFFSET($A55,0,31*($A$9-1)+1,1,31)&lt;&gt;"")*(IF(OFFSET($A55,0,31*($A$9-1)+1,1,31)=$NL$9,0.5,IF(OFFSET($A55,0,31*($A$9-1)+1,1,31)=$NL$8,0,1))*(OFFSET($A$9,0,31*($A$9-1)+1,1,31)))))</f>
        <v/>
      </c>
      <c r="NO55" s="77" t="str" cm="1">
        <f t="array" aca="1" ref="NO55" ca="1">IF(SUMPRODUCT((OFFSET($A55,0,1,1,372)&lt;&gt;"")*(IF(OFFSET($A55,0,1,1,372)=$NL$9,0.5,IF(OFFSET($A55,0,1,1,372)=$NL$8,0,1))*(OFFSET($A$9,0,1,1,372))))=0,"",SUMPRODUCT((OFFSET($A55,0,1,1,372)&lt;&gt;"")*(IF(OFFSET($A55,0,1,1,372)=$NL$9,0.5,IF(OFFSET($A55,0,1,1,372)=$NL$8,0,1))*(OFFSET($A$9,0,1,1,372)))))</f>
        <v/>
      </c>
      <c r="NP55" s="46"/>
      <c r="NQ55" s="75" t="str">
        <f t="array" aca="1" ref="NQ55" ca="1">IF(SUMPRODUCT((OFFSET($A55,0,1,1,372)&lt;&gt;"")*(OFFSET($A$9,0,1,1,372))*((OFFSET($A55,0,1,1,372))=NL$5))=0,"",SUMPRODUCT((OFFSET($A55,0,1,1,372)&lt;&gt;"")*(OFFSET($A$9,0,1,1,372))*((OFFSET($A55,0,1,1,372))=NL$5)))</f>
        <v/>
      </c>
      <c r="NR55" s="75" t="str">
        <f t="array" aca="1" ref="NR55" ca="1">IF(SUMPRODUCT((OFFSET($A55,0,1,1,372)&lt;&gt;"")*(OFFSET($A$9,0,1,1,372))*((OFFSET($A55,0,1,1,372))=NL$6))=0,"",SUMPRODUCT((OFFSET($A55,0,1,1,372)&lt;&gt;"")*(OFFSET($A$9,0,1,1,372))*((OFFSET($A55,0,1,1,372))=NL$6)))</f>
        <v/>
      </c>
      <c r="NS55" s="75" t="str">
        <f t="array" aca="1" ref="NS55" ca="1">IF(SUMPRODUCT((OFFSET($A55,0,1,1,372)&lt;&gt;"")*(OFFSET($A$9,0,1,1,372))*((OFFSET($A55,0,1,1,372))=NL$7))=0,"",SUMPRODUCT((OFFSET($A55,0,1,1,372)&lt;&gt;"")*(OFFSET($A$9,0,1,1,372))*((OFFSET($A55,0,1,1,372))=NL$7)))</f>
        <v/>
      </c>
      <c r="NT55" s="75" t="str" cm="1">
        <f t="array" aca="1" ref="NT55" ca="1">IF(SUMPRODUCT((OFFSET($A55,0,1,1,372)&lt;&gt;"")*(OFFSET($A$9,0,1,1,372))*((OFFSET($A55,0,1,1,372))=NL$9))=0,"",SUMPRODUCT((OFFSET($A55,0,1,1,372)&lt;&gt;"")*(OFFSET($A$9,0,1,1,372))*((OFFSET($A55,0,1,1,372))=NL$9)))</f>
        <v/>
      </c>
    </row>
    <row r="56" spans="1:384" ht="15.5" x14ac:dyDescent="0.35">
      <c r="A56" s="3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  <c r="KI56" s="14"/>
      <c r="KJ56" s="14"/>
      <c r="KK56" s="14"/>
      <c r="KL56" s="14"/>
      <c r="KM56" s="14"/>
      <c r="KN56" s="14"/>
      <c r="KO56" s="14"/>
      <c r="KP56" s="14"/>
      <c r="KQ56" s="14"/>
      <c r="KR56" s="14"/>
      <c r="KS56" s="14"/>
      <c r="KT56" s="14"/>
      <c r="KU56" s="14"/>
      <c r="KV56" s="14"/>
      <c r="KW56" s="14"/>
      <c r="KX56" s="14"/>
      <c r="KY56" s="14"/>
      <c r="KZ56" s="14"/>
      <c r="LA56" s="14"/>
      <c r="LB56" s="14"/>
      <c r="LC56" s="14"/>
      <c r="LD56" s="14"/>
      <c r="LE56" s="14"/>
      <c r="LF56" s="14"/>
      <c r="LG56" s="14"/>
      <c r="LH56" s="14"/>
      <c r="LI56" s="14"/>
      <c r="LJ56" s="14"/>
      <c r="LK56" s="14"/>
      <c r="LL56" s="14"/>
      <c r="LM56" s="14"/>
      <c r="LN56" s="14"/>
      <c r="LO56" s="14"/>
      <c r="LP56" s="14"/>
      <c r="LQ56" s="14"/>
      <c r="LR56" s="14"/>
      <c r="LS56" s="14"/>
      <c r="LT56" s="14"/>
      <c r="LU56" s="14"/>
      <c r="LV56" s="14"/>
      <c r="LW56" s="14"/>
      <c r="LX56" s="14"/>
      <c r="LY56" s="14"/>
      <c r="LZ56" s="14"/>
      <c r="MA56" s="14"/>
      <c r="MB56" s="14"/>
      <c r="MC56" s="14"/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/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/>
      <c r="NB56" s="14"/>
      <c r="NC56" s="14"/>
      <c r="ND56" s="14"/>
      <c r="NE56" s="14"/>
      <c r="NF56" s="14"/>
      <c r="NG56" s="14"/>
      <c r="NH56" s="14"/>
      <c r="NI56" s="33"/>
      <c r="NK56" s="39"/>
      <c r="NL56" s="48"/>
      <c r="NN56" s="76" t="str" cm="1">
        <f t="array" aca="1" ref="NN56" ca="1">IF(SUMPRODUCT((OFFSET($A56,0,31*($A$9-1)+1,1,31)&lt;&gt;"")*(IF(OFFSET($A56,0,31*($A$9-1)+1,1,31)=$NL$9,0.5,IF(OFFSET($A56,0,31*($A$9-1)+1,1,31)=$NL$8,0,1))*(OFFSET($A$9,0,31*($A$9-1)+1,1,31))))=0,"",SUMPRODUCT((OFFSET($A56,0,31*($A$9-1)+1,1,31)&lt;&gt;"")*(IF(OFFSET($A56,0,31*($A$9-1)+1,1,31)=$NL$9,0.5,IF(OFFSET($A56,0,31*($A$9-1)+1,1,31)=$NL$8,0,1))*(OFFSET($A$9,0,31*($A$9-1)+1,1,31)))))</f>
        <v/>
      </c>
      <c r="NO56" s="77" t="str" cm="1">
        <f t="array" aca="1" ref="NO56" ca="1">IF(SUMPRODUCT((OFFSET($A56,0,1,1,372)&lt;&gt;"")*(IF(OFFSET($A56,0,1,1,372)=$NL$9,0.5,IF(OFFSET($A56,0,1,1,372)=$NL$8,0,1))*(OFFSET($A$9,0,1,1,372))))=0,"",SUMPRODUCT((OFFSET($A56,0,1,1,372)&lt;&gt;"")*(IF(OFFSET($A56,0,1,1,372)=$NL$9,0.5,IF(OFFSET($A56,0,1,1,372)=$NL$8,0,1))*(OFFSET($A$9,0,1,1,372)))))</f>
        <v/>
      </c>
      <c r="NP56" s="46"/>
      <c r="NQ56" s="75" t="str">
        <f t="array" aca="1" ref="NQ56" ca="1">IF(SUMPRODUCT((OFFSET($A56,0,1,1,372)&lt;&gt;"")*(OFFSET($A$9,0,1,1,372))*((OFFSET($A56,0,1,1,372))=NL$5))=0,"",SUMPRODUCT((OFFSET($A56,0,1,1,372)&lt;&gt;"")*(OFFSET($A$9,0,1,1,372))*((OFFSET($A56,0,1,1,372))=NL$5)))</f>
        <v/>
      </c>
      <c r="NR56" s="75" t="str">
        <f t="array" aca="1" ref="NR56" ca="1">IF(SUMPRODUCT((OFFSET($A56,0,1,1,372)&lt;&gt;"")*(OFFSET($A$9,0,1,1,372))*((OFFSET($A56,0,1,1,372))=NL$6))=0,"",SUMPRODUCT((OFFSET($A56,0,1,1,372)&lt;&gt;"")*(OFFSET($A$9,0,1,1,372))*((OFFSET($A56,0,1,1,372))=NL$6)))</f>
        <v/>
      </c>
      <c r="NS56" s="75" t="str">
        <f t="array" aca="1" ref="NS56" ca="1">IF(SUMPRODUCT((OFFSET($A56,0,1,1,372)&lt;&gt;"")*(OFFSET($A$9,0,1,1,372))*((OFFSET($A56,0,1,1,372))=NL$7))=0,"",SUMPRODUCT((OFFSET($A56,0,1,1,372)&lt;&gt;"")*(OFFSET($A$9,0,1,1,372))*((OFFSET($A56,0,1,1,372))=NL$7)))</f>
        <v/>
      </c>
      <c r="NT56" s="75" t="str" cm="1">
        <f t="array" aca="1" ref="NT56" ca="1">IF(SUMPRODUCT((OFFSET($A56,0,1,1,372)&lt;&gt;"")*(OFFSET($A$9,0,1,1,372))*((OFFSET($A56,0,1,1,372))=NL$9))=0,"",SUMPRODUCT((OFFSET($A56,0,1,1,372)&lt;&gt;"")*(OFFSET($A$9,0,1,1,372))*((OFFSET($A56,0,1,1,372))=NL$9)))</f>
        <v/>
      </c>
    </row>
    <row r="57" spans="1:384" ht="15.5" x14ac:dyDescent="0.35">
      <c r="A57" s="3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  <c r="KI57" s="14"/>
      <c r="KJ57" s="14"/>
      <c r="KK57" s="14"/>
      <c r="KL57" s="14"/>
      <c r="KM57" s="14"/>
      <c r="KN57" s="14"/>
      <c r="KO57" s="14"/>
      <c r="KP57" s="14"/>
      <c r="KQ57" s="14"/>
      <c r="KR57" s="14"/>
      <c r="KS57" s="14"/>
      <c r="KT57" s="14"/>
      <c r="KU57" s="14"/>
      <c r="KV57" s="14"/>
      <c r="KW57" s="14"/>
      <c r="KX57" s="14"/>
      <c r="KY57" s="14"/>
      <c r="KZ57" s="14"/>
      <c r="LA57" s="14"/>
      <c r="LB57" s="14"/>
      <c r="LC57" s="14"/>
      <c r="LD57" s="14"/>
      <c r="LE57" s="14"/>
      <c r="LF57" s="14"/>
      <c r="LG57" s="14"/>
      <c r="LH57" s="14"/>
      <c r="LI57" s="14"/>
      <c r="LJ57" s="14"/>
      <c r="LK57" s="14"/>
      <c r="LL57" s="14"/>
      <c r="LM57" s="14"/>
      <c r="LN57" s="14"/>
      <c r="LO57" s="14"/>
      <c r="LP57" s="14"/>
      <c r="LQ57" s="14"/>
      <c r="LR57" s="14"/>
      <c r="LS57" s="14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33"/>
      <c r="NK57" s="39"/>
      <c r="NL57" s="48"/>
      <c r="NN57" s="76" t="str" cm="1">
        <f t="array" aca="1" ref="NN57" ca="1">IF(SUMPRODUCT((OFFSET($A57,0,31*($A$9-1)+1,1,31)&lt;&gt;"")*(IF(OFFSET($A57,0,31*($A$9-1)+1,1,31)=$NL$9,0.5,IF(OFFSET($A57,0,31*($A$9-1)+1,1,31)=$NL$8,0,1))*(OFFSET($A$9,0,31*($A$9-1)+1,1,31))))=0,"",SUMPRODUCT((OFFSET($A57,0,31*($A$9-1)+1,1,31)&lt;&gt;"")*(IF(OFFSET($A57,0,31*($A$9-1)+1,1,31)=$NL$9,0.5,IF(OFFSET($A57,0,31*($A$9-1)+1,1,31)=$NL$8,0,1))*(OFFSET($A$9,0,31*($A$9-1)+1,1,31)))))</f>
        <v/>
      </c>
      <c r="NO57" s="77" t="str" cm="1">
        <f t="array" aca="1" ref="NO57" ca="1">IF(SUMPRODUCT((OFFSET($A57,0,1,1,372)&lt;&gt;"")*(IF(OFFSET($A57,0,1,1,372)=$NL$9,0.5,IF(OFFSET($A57,0,1,1,372)=$NL$8,0,1))*(OFFSET($A$9,0,1,1,372))))=0,"",SUMPRODUCT((OFFSET($A57,0,1,1,372)&lt;&gt;"")*(IF(OFFSET($A57,0,1,1,372)=$NL$9,0.5,IF(OFFSET($A57,0,1,1,372)=$NL$8,0,1))*(OFFSET($A$9,0,1,1,372)))))</f>
        <v/>
      </c>
      <c r="NP57" s="46"/>
      <c r="NQ57" s="75" t="str">
        <f t="array" aca="1" ref="NQ57" ca="1">IF(SUMPRODUCT((OFFSET($A57,0,1,1,372)&lt;&gt;"")*(OFFSET($A$9,0,1,1,372))*((OFFSET($A57,0,1,1,372))=NL$5))=0,"",SUMPRODUCT((OFFSET($A57,0,1,1,372)&lt;&gt;"")*(OFFSET($A$9,0,1,1,372))*((OFFSET($A57,0,1,1,372))=NL$5)))</f>
        <v/>
      </c>
      <c r="NR57" s="75" t="str">
        <f t="array" aca="1" ref="NR57" ca="1">IF(SUMPRODUCT((OFFSET($A57,0,1,1,372)&lt;&gt;"")*(OFFSET($A$9,0,1,1,372))*((OFFSET($A57,0,1,1,372))=NL$6))=0,"",SUMPRODUCT((OFFSET($A57,0,1,1,372)&lt;&gt;"")*(OFFSET($A$9,0,1,1,372))*((OFFSET($A57,0,1,1,372))=NL$6)))</f>
        <v/>
      </c>
      <c r="NS57" s="75" t="str">
        <f t="array" aca="1" ref="NS57" ca="1">IF(SUMPRODUCT((OFFSET($A57,0,1,1,372)&lt;&gt;"")*(OFFSET($A$9,0,1,1,372))*((OFFSET($A57,0,1,1,372))=NL$7))=0,"",SUMPRODUCT((OFFSET($A57,0,1,1,372)&lt;&gt;"")*(OFFSET($A$9,0,1,1,372))*((OFFSET($A57,0,1,1,372))=NL$7)))</f>
        <v/>
      </c>
      <c r="NT57" s="75" t="str" cm="1">
        <f t="array" aca="1" ref="NT57" ca="1">IF(SUMPRODUCT((OFFSET($A57,0,1,1,372)&lt;&gt;"")*(OFFSET($A$9,0,1,1,372))*((OFFSET($A57,0,1,1,372))=NL$9))=0,"",SUMPRODUCT((OFFSET($A57,0,1,1,372)&lt;&gt;"")*(OFFSET($A$9,0,1,1,372))*((OFFSET($A57,0,1,1,372))=NL$9)))</f>
        <v/>
      </c>
    </row>
    <row r="58" spans="1:384" ht="15.5" x14ac:dyDescent="0.35">
      <c r="A58" s="3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  <c r="KI58" s="14"/>
      <c r="KJ58" s="14"/>
      <c r="KK58" s="14"/>
      <c r="KL58" s="14"/>
      <c r="KM58" s="14"/>
      <c r="KN58" s="14"/>
      <c r="KO58" s="14"/>
      <c r="KP58" s="14"/>
      <c r="KQ58" s="14"/>
      <c r="KR58" s="14"/>
      <c r="KS58" s="14"/>
      <c r="KT58" s="14"/>
      <c r="KU58" s="14"/>
      <c r="KV58" s="14"/>
      <c r="KW58" s="14"/>
      <c r="KX58" s="14"/>
      <c r="KY58" s="14"/>
      <c r="KZ58" s="14"/>
      <c r="LA58" s="14"/>
      <c r="LB58" s="14"/>
      <c r="LC58" s="14"/>
      <c r="LD58" s="14"/>
      <c r="LE58" s="14"/>
      <c r="LF58" s="14"/>
      <c r="LG58" s="14"/>
      <c r="LH58" s="14"/>
      <c r="LI58" s="14"/>
      <c r="LJ58" s="14"/>
      <c r="LK58" s="14"/>
      <c r="LL58" s="14"/>
      <c r="LM58" s="14"/>
      <c r="LN58" s="14"/>
      <c r="LO58" s="14"/>
      <c r="LP58" s="14"/>
      <c r="LQ58" s="14"/>
      <c r="LR58" s="14"/>
      <c r="LS58" s="14"/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/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/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/>
      <c r="ND58" s="14"/>
      <c r="NE58" s="14"/>
      <c r="NF58" s="14"/>
      <c r="NG58" s="14"/>
      <c r="NH58" s="14"/>
      <c r="NI58" s="33"/>
      <c r="NK58" s="39"/>
      <c r="NL58" s="48"/>
      <c r="NN58" s="76" t="str" cm="1">
        <f t="array" aca="1" ref="NN58" ca="1">IF(SUMPRODUCT((OFFSET($A58,0,31*($A$9-1)+1,1,31)&lt;&gt;"")*(IF(OFFSET($A58,0,31*($A$9-1)+1,1,31)=$NL$9,0.5,IF(OFFSET($A58,0,31*($A$9-1)+1,1,31)=$NL$8,0,1))*(OFFSET($A$9,0,31*($A$9-1)+1,1,31))))=0,"",SUMPRODUCT((OFFSET($A58,0,31*($A$9-1)+1,1,31)&lt;&gt;"")*(IF(OFFSET($A58,0,31*($A$9-1)+1,1,31)=$NL$9,0.5,IF(OFFSET($A58,0,31*($A$9-1)+1,1,31)=$NL$8,0,1))*(OFFSET($A$9,0,31*($A$9-1)+1,1,31)))))</f>
        <v/>
      </c>
      <c r="NO58" s="77" t="str" cm="1">
        <f t="array" aca="1" ref="NO58" ca="1">IF(SUMPRODUCT((OFFSET($A58,0,1,1,372)&lt;&gt;"")*(IF(OFFSET($A58,0,1,1,372)=$NL$9,0.5,IF(OFFSET($A58,0,1,1,372)=$NL$8,0,1))*(OFFSET($A$9,0,1,1,372))))=0,"",SUMPRODUCT((OFFSET($A58,0,1,1,372)&lt;&gt;"")*(IF(OFFSET($A58,0,1,1,372)=$NL$9,0.5,IF(OFFSET($A58,0,1,1,372)=$NL$8,0,1))*(OFFSET($A$9,0,1,1,372)))))</f>
        <v/>
      </c>
      <c r="NP58" s="46"/>
      <c r="NQ58" s="75" t="str">
        <f t="array" aca="1" ref="NQ58" ca="1">IF(SUMPRODUCT((OFFSET($A58,0,1,1,372)&lt;&gt;"")*(OFFSET($A$9,0,1,1,372))*((OFFSET($A58,0,1,1,372))=NL$5))=0,"",SUMPRODUCT((OFFSET($A58,0,1,1,372)&lt;&gt;"")*(OFFSET($A$9,0,1,1,372))*((OFFSET($A58,0,1,1,372))=NL$5)))</f>
        <v/>
      </c>
      <c r="NR58" s="75" t="str">
        <f t="array" aca="1" ref="NR58" ca="1">IF(SUMPRODUCT((OFFSET($A58,0,1,1,372)&lt;&gt;"")*(OFFSET($A$9,0,1,1,372))*((OFFSET($A58,0,1,1,372))=NL$6))=0,"",SUMPRODUCT((OFFSET($A58,0,1,1,372)&lt;&gt;"")*(OFFSET($A$9,0,1,1,372))*((OFFSET($A58,0,1,1,372))=NL$6)))</f>
        <v/>
      </c>
      <c r="NS58" s="75" t="str">
        <f t="array" aca="1" ref="NS58" ca="1">IF(SUMPRODUCT((OFFSET($A58,0,1,1,372)&lt;&gt;"")*(OFFSET($A$9,0,1,1,372))*((OFFSET($A58,0,1,1,372))=NL$7))=0,"",SUMPRODUCT((OFFSET($A58,0,1,1,372)&lt;&gt;"")*(OFFSET($A$9,0,1,1,372))*((OFFSET($A58,0,1,1,372))=NL$7)))</f>
        <v/>
      </c>
      <c r="NT58" s="75" t="str" cm="1">
        <f t="array" aca="1" ref="NT58" ca="1">IF(SUMPRODUCT((OFFSET($A58,0,1,1,372)&lt;&gt;"")*(OFFSET($A$9,0,1,1,372))*((OFFSET($A58,0,1,1,372))=NL$9))=0,"",SUMPRODUCT((OFFSET($A58,0,1,1,372)&lt;&gt;"")*(OFFSET($A$9,0,1,1,372))*((OFFSET($A58,0,1,1,372))=NL$9)))</f>
        <v/>
      </c>
    </row>
    <row r="59" spans="1:384" ht="15.5" x14ac:dyDescent="0.35">
      <c r="A59" s="15" t="s">
        <v>32</v>
      </c>
      <c r="B59" s="15" t="s">
        <v>32</v>
      </c>
      <c r="C59" s="15" t="s">
        <v>32</v>
      </c>
      <c r="D59" s="15" t="s">
        <v>32</v>
      </c>
      <c r="E59" s="15" t="s">
        <v>32</v>
      </c>
      <c r="F59" s="15" t="s">
        <v>32</v>
      </c>
      <c r="G59" s="15" t="s">
        <v>32</v>
      </c>
      <c r="H59" s="15" t="s">
        <v>32</v>
      </c>
      <c r="I59" s="15" t="s">
        <v>32</v>
      </c>
      <c r="J59" s="15" t="s">
        <v>32</v>
      </c>
      <c r="K59" s="15" t="s">
        <v>32</v>
      </c>
      <c r="L59" s="15" t="s">
        <v>32</v>
      </c>
      <c r="M59" s="15" t="s">
        <v>32</v>
      </c>
      <c r="N59" s="15" t="s">
        <v>32</v>
      </c>
      <c r="O59" s="15" t="s">
        <v>32</v>
      </c>
      <c r="P59" s="15" t="s">
        <v>32</v>
      </c>
      <c r="Q59" s="15" t="s">
        <v>32</v>
      </c>
      <c r="R59" s="15" t="s">
        <v>32</v>
      </c>
      <c r="S59" s="15" t="s">
        <v>32</v>
      </c>
      <c r="T59" s="15" t="s">
        <v>32</v>
      </c>
      <c r="U59" s="15" t="s">
        <v>32</v>
      </c>
      <c r="V59" s="15" t="s">
        <v>32</v>
      </c>
      <c r="W59" s="15" t="s">
        <v>32</v>
      </c>
      <c r="X59" s="15" t="s">
        <v>32</v>
      </c>
      <c r="Y59" s="15" t="s">
        <v>32</v>
      </c>
      <c r="Z59" s="15" t="s">
        <v>32</v>
      </c>
      <c r="AA59" s="15" t="s">
        <v>32</v>
      </c>
      <c r="AB59" s="15" t="s">
        <v>32</v>
      </c>
      <c r="AC59" s="15" t="s">
        <v>32</v>
      </c>
      <c r="AD59" s="15" t="s">
        <v>32</v>
      </c>
      <c r="AE59" s="15" t="s">
        <v>32</v>
      </c>
      <c r="AF59" s="15" t="s">
        <v>32</v>
      </c>
      <c r="AG59" s="15" t="s">
        <v>32</v>
      </c>
      <c r="AH59" s="15" t="s">
        <v>32</v>
      </c>
      <c r="AI59" s="15" t="s">
        <v>32</v>
      </c>
      <c r="AJ59" s="15" t="s">
        <v>32</v>
      </c>
      <c r="AK59" s="15" t="s">
        <v>32</v>
      </c>
      <c r="AL59" s="15" t="s">
        <v>32</v>
      </c>
      <c r="AM59" s="15" t="s">
        <v>32</v>
      </c>
      <c r="AN59" s="15" t="s">
        <v>32</v>
      </c>
      <c r="AO59" s="15" t="s">
        <v>32</v>
      </c>
      <c r="AP59" s="15" t="s">
        <v>32</v>
      </c>
      <c r="AQ59" s="15" t="s">
        <v>32</v>
      </c>
      <c r="AR59" s="15" t="s">
        <v>32</v>
      </c>
      <c r="AS59" s="15" t="s">
        <v>32</v>
      </c>
      <c r="AT59" s="15" t="s">
        <v>32</v>
      </c>
      <c r="AU59" s="15" t="s">
        <v>32</v>
      </c>
      <c r="AV59" s="15" t="s">
        <v>32</v>
      </c>
      <c r="AW59" s="15" t="s">
        <v>32</v>
      </c>
      <c r="AX59" s="15" t="s">
        <v>32</v>
      </c>
      <c r="AY59" s="15" t="s">
        <v>32</v>
      </c>
      <c r="AZ59" s="15" t="s">
        <v>32</v>
      </c>
      <c r="BA59" s="15" t="s">
        <v>32</v>
      </c>
      <c r="BB59" s="15" t="s">
        <v>32</v>
      </c>
      <c r="BC59" s="15" t="s">
        <v>32</v>
      </c>
      <c r="BD59" s="15" t="s">
        <v>32</v>
      </c>
      <c r="BE59" s="15" t="s">
        <v>32</v>
      </c>
      <c r="BF59" s="15" t="s">
        <v>32</v>
      </c>
      <c r="BG59" s="15" t="s">
        <v>32</v>
      </c>
      <c r="BH59" s="15" t="s">
        <v>32</v>
      </c>
      <c r="BI59" s="15" t="s">
        <v>32</v>
      </c>
      <c r="BJ59" s="15" t="s">
        <v>32</v>
      </c>
      <c r="BK59" s="15" t="s">
        <v>32</v>
      </c>
      <c r="BL59" s="15" t="s">
        <v>32</v>
      </c>
      <c r="BM59" s="15" t="s">
        <v>32</v>
      </c>
      <c r="BN59" s="15" t="s">
        <v>32</v>
      </c>
      <c r="BO59" s="15" t="s">
        <v>32</v>
      </c>
      <c r="BP59" s="15" t="s">
        <v>32</v>
      </c>
      <c r="BQ59" s="15" t="s">
        <v>32</v>
      </c>
      <c r="BR59" s="15" t="s">
        <v>32</v>
      </c>
      <c r="BS59" s="15" t="s">
        <v>32</v>
      </c>
      <c r="BT59" s="15" t="s">
        <v>32</v>
      </c>
      <c r="BU59" s="15" t="s">
        <v>32</v>
      </c>
      <c r="BV59" s="15" t="s">
        <v>32</v>
      </c>
      <c r="BW59" s="15" t="s">
        <v>32</v>
      </c>
      <c r="BX59" s="15" t="s">
        <v>32</v>
      </c>
      <c r="BY59" s="15" t="s">
        <v>32</v>
      </c>
      <c r="BZ59" s="15" t="s">
        <v>32</v>
      </c>
      <c r="CA59" s="15" t="s">
        <v>32</v>
      </c>
      <c r="CB59" s="15" t="s">
        <v>32</v>
      </c>
      <c r="CC59" s="15" t="s">
        <v>32</v>
      </c>
      <c r="CD59" s="15" t="s">
        <v>32</v>
      </c>
      <c r="CE59" s="15" t="s">
        <v>32</v>
      </c>
      <c r="CF59" s="15" t="s">
        <v>32</v>
      </c>
      <c r="CG59" s="15" t="s">
        <v>32</v>
      </c>
      <c r="CH59" s="15" t="s">
        <v>32</v>
      </c>
      <c r="CI59" s="15" t="s">
        <v>32</v>
      </c>
      <c r="CJ59" s="15" t="s">
        <v>32</v>
      </c>
      <c r="CK59" s="15" t="s">
        <v>32</v>
      </c>
      <c r="CL59" s="15" t="s">
        <v>32</v>
      </c>
      <c r="CM59" s="15" t="s">
        <v>32</v>
      </c>
      <c r="CN59" s="15" t="s">
        <v>32</v>
      </c>
      <c r="CO59" s="15" t="s">
        <v>32</v>
      </c>
      <c r="CP59" s="15" t="s">
        <v>32</v>
      </c>
      <c r="CQ59" s="15" t="s">
        <v>32</v>
      </c>
      <c r="CR59" s="15" t="s">
        <v>32</v>
      </c>
      <c r="CS59" s="15" t="s">
        <v>32</v>
      </c>
      <c r="CT59" s="15" t="s">
        <v>32</v>
      </c>
      <c r="CU59" s="15" t="s">
        <v>32</v>
      </c>
      <c r="CV59" s="15" t="s">
        <v>32</v>
      </c>
      <c r="CW59" s="15" t="s">
        <v>32</v>
      </c>
      <c r="CX59" s="15" t="s">
        <v>32</v>
      </c>
      <c r="CY59" s="15" t="s">
        <v>32</v>
      </c>
      <c r="CZ59" s="15" t="s">
        <v>32</v>
      </c>
      <c r="DA59" s="15" t="s">
        <v>32</v>
      </c>
      <c r="DB59" s="15" t="s">
        <v>32</v>
      </c>
      <c r="DC59" s="15" t="s">
        <v>32</v>
      </c>
      <c r="DD59" s="15" t="s">
        <v>32</v>
      </c>
      <c r="DE59" s="15" t="s">
        <v>32</v>
      </c>
      <c r="DF59" s="15" t="s">
        <v>32</v>
      </c>
      <c r="DG59" s="15" t="s">
        <v>32</v>
      </c>
      <c r="DH59" s="15" t="s">
        <v>32</v>
      </c>
      <c r="DI59" s="15" t="s">
        <v>32</v>
      </c>
      <c r="DJ59" s="15" t="s">
        <v>32</v>
      </c>
      <c r="DK59" s="15" t="s">
        <v>32</v>
      </c>
      <c r="DL59" s="15" t="s">
        <v>32</v>
      </c>
      <c r="DM59" s="15" t="s">
        <v>32</v>
      </c>
      <c r="DN59" s="15" t="s">
        <v>32</v>
      </c>
      <c r="DO59" s="15" t="s">
        <v>32</v>
      </c>
      <c r="DP59" s="15" t="s">
        <v>32</v>
      </c>
      <c r="DQ59" s="15" t="s">
        <v>32</v>
      </c>
      <c r="DR59" s="15" t="s">
        <v>32</v>
      </c>
      <c r="DS59" s="15" t="s">
        <v>32</v>
      </c>
      <c r="DT59" s="15" t="s">
        <v>32</v>
      </c>
      <c r="DU59" s="15" t="s">
        <v>32</v>
      </c>
      <c r="DV59" s="15" t="s">
        <v>32</v>
      </c>
      <c r="DW59" s="15" t="s">
        <v>32</v>
      </c>
      <c r="DX59" s="15" t="s">
        <v>32</v>
      </c>
      <c r="DY59" s="15" t="s">
        <v>32</v>
      </c>
      <c r="DZ59" s="15" t="s">
        <v>32</v>
      </c>
      <c r="EA59" s="15" t="s">
        <v>32</v>
      </c>
      <c r="EB59" s="15" t="s">
        <v>32</v>
      </c>
      <c r="EC59" s="15" t="s">
        <v>32</v>
      </c>
      <c r="ED59" s="15" t="s">
        <v>32</v>
      </c>
      <c r="EE59" s="15" t="s">
        <v>32</v>
      </c>
      <c r="EF59" s="15" t="s">
        <v>32</v>
      </c>
      <c r="EG59" s="15" t="s">
        <v>32</v>
      </c>
      <c r="EH59" s="15" t="s">
        <v>32</v>
      </c>
      <c r="EI59" s="15" t="s">
        <v>32</v>
      </c>
      <c r="EJ59" s="15" t="s">
        <v>32</v>
      </c>
      <c r="EK59" s="15" t="s">
        <v>32</v>
      </c>
      <c r="EL59" s="15" t="s">
        <v>32</v>
      </c>
      <c r="EM59" s="15" t="s">
        <v>32</v>
      </c>
      <c r="EN59" s="15" t="s">
        <v>32</v>
      </c>
      <c r="EO59" s="15" t="s">
        <v>32</v>
      </c>
      <c r="EP59" s="15" t="s">
        <v>32</v>
      </c>
      <c r="EQ59" s="15" t="s">
        <v>32</v>
      </c>
      <c r="ER59" s="15" t="s">
        <v>32</v>
      </c>
      <c r="ES59" s="15" t="s">
        <v>32</v>
      </c>
      <c r="ET59" s="15" t="s">
        <v>32</v>
      </c>
      <c r="EU59" s="15" t="s">
        <v>32</v>
      </c>
      <c r="EV59" s="15" t="s">
        <v>32</v>
      </c>
      <c r="EW59" s="15" t="s">
        <v>32</v>
      </c>
      <c r="EX59" s="15" t="s">
        <v>32</v>
      </c>
      <c r="EY59" s="15" t="s">
        <v>32</v>
      </c>
      <c r="EZ59" s="15" t="s">
        <v>32</v>
      </c>
      <c r="FA59" s="15" t="s">
        <v>32</v>
      </c>
      <c r="FB59" s="15" t="s">
        <v>32</v>
      </c>
      <c r="FC59" s="15" t="s">
        <v>32</v>
      </c>
      <c r="FD59" s="15" t="s">
        <v>32</v>
      </c>
      <c r="FE59" s="15" t="s">
        <v>32</v>
      </c>
      <c r="FF59" s="15" t="s">
        <v>32</v>
      </c>
      <c r="FG59" s="15" t="s">
        <v>32</v>
      </c>
      <c r="FH59" s="15" t="s">
        <v>32</v>
      </c>
      <c r="FI59" s="15" t="s">
        <v>32</v>
      </c>
      <c r="FJ59" s="15" t="s">
        <v>32</v>
      </c>
      <c r="FK59" s="15" t="s">
        <v>32</v>
      </c>
      <c r="FL59" s="15" t="s">
        <v>32</v>
      </c>
      <c r="FM59" s="15" t="s">
        <v>32</v>
      </c>
      <c r="FN59" s="15" t="s">
        <v>32</v>
      </c>
      <c r="FO59" s="15" t="s">
        <v>32</v>
      </c>
      <c r="FP59" s="15" t="s">
        <v>32</v>
      </c>
      <c r="FQ59" s="15" t="s">
        <v>32</v>
      </c>
      <c r="FR59" s="15" t="s">
        <v>32</v>
      </c>
      <c r="FS59" s="15" t="s">
        <v>32</v>
      </c>
      <c r="FT59" s="15" t="s">
        <v>32</v>
      </c>
      <c r="FU59" s="15" t="s">
        <v>32</v>
      </c>
      <c r="FV59" s="15" t="s">
        <v>32</v>
      </c>
      <c r="FW59" s="15" t="s">
        <v>32</v>
      </c>
      <c r="FX59" s="15" t="s">
        <v>32</v>
      </c>
      <c r="FY59" s="15" t="s">
        <v>32</v>
      </c>
      <c r="FZ59" s="15" t="s">
        <v>32</v>
      </c>
      <c r="GA59" s="15" t="s">
        <v>32</v>
      </c>
      <c r="GB59" s="15" t="s">
        <v>32</v>
      </c>
      <c r="GC59" s="15" t="s">
        <v>32</v>
      </c>
      <c r="GD59" s="15" t="s">
        <v>32</v>
      </c>
      <c r="GE59" s="15" t="s">
        <v>32</v>
      </c>
      <c r="GF59" s="15" t="s">
        <v>32</v>
      </c>
      <c r="GG59" s="15" t="s">
        <v>32</v>
      </c>
      <c r="GH59" s="15" t="s">
        <v>32</v>
      </c>
      <c r="GI59" s="15" t="s">
        <v>32</v>
      </c>
      <c r="GJ59" s="15" t="s">
        <v>32</v>
      </c>
      <c r="GK59" s="15" t="s">
        <v>32</v>
      </c>
      <c r="GL59" s="15" t="s">
        <v>32</v>
      </c>
      <c r="GM59" s="15" t="s">
        <v>32</v>
      </c>
      <c r="GN59" s="15" t="s">
        <v>32</v>
      </c>
      <c r="GO59" s="15" t="s">
        <v>32</v>
      </c>
      <c r="GP59" s="15" t="s">
        <v>32</v>
      </c>
      <c r="GQ59" s="15" t="s">
        <v>32</v>
      </c>
      <c r="GR59" s="15" t="s">
        <v>32</v>
      </c>
      <c r="GS59" s="15" t="s">
        <v>32</v>
      </c>
      <c r="GT59" s="15" t="s">
        <v>32</v>
      </c>
      <c r="GU59" s="15" t="s">
        <v>32</v>
      </c>
      <c r="GV59" s="15" t="s">
        <v>32</v>
      </c>
      <c r="GW59" s="15" t="s">
        <v>32</v>
      </c>
      <c r="GX59" s="15" t="s">
        <v>32</v>
      </c>
      <c r="GY59" s="15" t="s">
        <v>32</v>
      </c>
      <c r="GZ59" s="15" t="s">
        <v>32</v>
      </c>
      <c r="HA59" s="15" t="s">
        <v>32</v>
      </c>
      <c r="HB59" s="15" t="s">
        <v>32</v>
      </c>
      <c r="HC59" s="15" t="s">
        <v>32</v>
      </c>
      <c r="HD59" s="15" t="s">
        <v>32</v>
      </c>
      <c r="HE59" s="15" t="s">
        <v>32</v>
      </c>
      <c r="HF59" s="15" t="s">
        <v>32</v>
      </c>
      <c r="HG59" s="15" t="s">
        <v>32</v>
      </c>
      <c r="HH59" s="15" t="s">
        <v>32</v>
      </c>
      <c r="HI59" s="15" t="s">
        <v>32</v>
      </c>
      <c r="HJ59" s="15" t="s">
        <v>32</v>
      </c>
      <c r="HK59" s="15" t="s">
        <v>32</v>
      </c>
      <c r="HL59" s="15" t="s">
        <v>32</v>
      </c>
      <c r="HM59" s="15" t="s">
        <v>32</v>
      </c>
      <c r="HN59" s="15" t="s">
        <v>32</v>
      </c>
      <c r="HO59" s="15" t="s">
        <v>32</v>
      </c>
      <c r="HP59" s="15" t="s">
        <v>32</v>
      </c>
      <c r="HQ59" s="15" t="s">
        <v>32</v>
      </c>
      <c r="HR59" s="15" t="s">
        <v>32</v>
      </c>
      <c r="HS59" s="15" t="s">
        <v>32</v>
      </c>
      <c r="HT59" s="15" t="s">
        <v>32</v>
      </c>
      <c r="HU59" s="15" t="s">
        <v>32</v>
      </c>
      <c r="HV59" s="15" t="s">
        <v>32</v>
      </c>
      <c r="HW59" s="15" t="s">
        <v>32</v>
      </c>
      <c r="HX59" s="15" t="s">
        <v>32</v>
      </c>
      <c r="HY59" s="15" t="s">
        <v>32</v>
      </c>
      <c r="HZ59" s="15" t="s">
        <v>32</v>
      </c>
      <c r="IA59" s="15" t="s">
        <v>32</v>
      </c>
      <c r="IB59" s="15" t="s">
        <v>32</v>
      </c>
      <c r="IC59" s="15" t="s">
        <v>32</v>
      </c>
      <c r="ID59" s="15" t="s">
        <v>32</v>
      </c>
      <c r="IE59" s="15" t="s">
        <v>32</v>
      </c>
      <c r="IF59" s="15" t="s">
        <v>32</v>
      </c>
      <c r="IG59" s="15" t="s">
        <v>32</v>
      </c>
      <c r="IH59" s="15" t="s">
        <v>32</v>
      </c>
      <c r="II59" s="15" t="s">
        <v>32</v>
      </c>
      <c r="IJ59" s="15" t="s">
        <v>32</v>
      </c>
      <c r="IK59" s="15" t="s">
        <v>32</v>
      </c>
      <c r="IL59" s="15" t="s">
        <v>32</v>
      </c>
      <c r="IM59" s="15" t="s">
        <v>32</v>
      </c>
      <c r="IN59" s="15" t="s">
        <v>32</v>
      </c>
      <c r="IO59" s="15" t="s">
        <v>32</v>
      </c>
      <c r="IP59" s="15" t="s">
        <v>32</v>
      </c>
      <c r="IQ59" s="15" t="s">
        <v>32</v>
      </c>
      <c r="IR59" s="15" t="s">
        <v>32</v>
      </c>
      <c r="IS59" s="15" t="s">
        <v>32</v>
      </c>
      <c r="IT59" s="15" t="s">
        <v>32</v>
      </c>
      <c r="IU59" s="15" t="s">
        <v>32</v>
      </c>
      <c r="IV59" s="15" t="s">
        <v>32</v>
      </c>
      <c r="IW59" s="15" t="s">
        <v>32</v>
      </c>
      <c r="IX59" s="15" t="s">
        <v>32</v>
      </c>
      <c r="IY59" s="15" t="s">
        <v>32</v>
      </c>
      <c r="IZ59" s="15" t="s">
        <v>32</v>
      </c>
      <c r="JA59" s="15" t="s">
        <v>32</v>
      </c>
      <c r="JB59" s="15" t="s">
        <v>32</v>
      </c>
      <c r="JC59" s="15" t="s">
        <v>32</v>
      </c>
      <c r="JD59" s="15" t="s">
        <v>32</v>
      </c>
      <c r="JE59" s="15" t="s">
        <v>32</v>
      </c>
      <c r="JF59" s="15" t="s">
        <v>32</v>
      </c>
      <c r="JG59" s="15" t="s">
        <v>32</v>
      </c>
      <c r="JH59" s="15" t="s">
        <v>32</v>
      </c>
      <c r="JI59" s="15" t="s">
        <v>32</v>
      </c>
      <c r="JJ59" s="15" t="s">
        <v>32</v>
      </c>
      <c r="JK59" s="15" t="s">
        <v>32</v>
      </c>
      <c r="JL59" s="15" t="s">
        <v>32</v>
      </c>
      <c r="JM59" s="15" t="s">
        <v>32</v>
      </c>
      <c r="JN59" s="15" t="s">
        <v>32</v>
      </c>
      <c r="JO59" s="15" t="s">
        <v>32</v>
      </c>
      <c r="JP59" s="15" t="s">
        <v>32</v>
      </c>
      <c r="JQ59" s="15" t="s">
        <v>32</v>
      </c>
      <c r="JR59" s="15" t="s">
        <v>32</v>
      </c>
      <c r="JS59" s="15" t="s">
        <v>32</v>
      </c>
      <c r="JT59" s="15" t="s">
        <v>32</v>
      </c>
      <c r="JU59" s="15" t="s">
        <v>32</v>
      </c>
      <c r="JV59" s="15" t="s">
        <v>32</v>
      </c>
      <c r="JW59" s="15" t="s">
        <v>32</v>
      </c>
      <c r="JX59" s="15" t="s">
        <v>32</v>
      </c>
      <c r="JY59" s="15" t="s">
        <v>32</v>
      </c>
      <c r="JZ59" s="15" t="s">
        <v>32</v>
      </c>
      <c r="KA59" s="15" t="s">
        <v>32</v>
      </c>
      <c r="KB59" s="15" t="s">
        <v>32</v>
      </c>
      <c r="KC59" s="15" t="s">
        <v>32</v>
      </c>
      <c r="KD59" s="15" t="s">
        <v>32</v>
      </c>
      <c r="KE59" s="15" t="s">
        <v>32</v>
      </c>
      <c r="KF59" s="15" t="s">
        <v>32</v>
      </c>
      <c r="KG59" s="15" t="s">
        <v>32</v>
      </c>
      <c r="KH59" s="15" t="s">
        <v>32</v>
      </c>
      <c r="KI59" s="15" t="s">
        <v>32</v>
      </c>
      <c r="KJ59" s="15" t="s">
        <v>32</v>
      </c>
      <c r="KK59" s="15" t="s">
        <v>32</v>
      </c>
      <c r="KL59" s="15" t="s">
        <v>32</v>
      </c>
      <c r="KM59" s="15" t="s">
        <v>32</v>
      </c>
      <c r="KN59" s="15" t="s">
        <v>32</v>
      </c>
      <c r="KO59" s="15" t="s">
        <v>32</v>
      </c>
      <c r="KP59" s="15" t="s">
        <v>32</v>
      </c>
      <c r="KQ59" s="15" t="s">
        <v>32</v>
      </c>
      <c r="KR59" s="15" t="s">
        <v>32</v>
      </c>
      <c r="KS59" s="15" t="s">
        <v>32</v>
      </c>
      <c r="KT59" s="15" t="s">
        <v>32</v>
      </c>
      <c r="KU59" s="15" t="s">
        <v>32</v>
      </c>
      <c r="KV59" s="15" t="s">
        <v>32</v>
      </c>
      <c r="KW59" s="15" t="s">
        <v>32</v>
      </c>
      <c r="KX59" s="15" t="s">
        <v>32</v>
      </c>
      <c r="KY59" s="15" t="s">
        <v>32</v>
      </c>
      <c r="KZ59" s="15" t="s">
        <v>32</v>
      </c>
      <c r="LA59" s="15" t="s">
        <v>32</v>
      </c>
      <c r="LB59" s="15" t="s">
        <v>32</v>
      </c>
      <c r="LC59" s="15" t="s">
        <v>32</v>
      </c>
      <c r="LD59" s="15" t="s">
        <v>32</v>
      </c>
      <c r="LE59" s="15" t="s">
        <v>32</v>
      </c>
      <c r="LF59" s="15" t="s">
        <v>32</v>
      </c>
      <c r="LG59" s="15" t="s">
        <v>32</v>
      </c>
      <c r="LH59" s="15" t="s">
        <v>32</v>
      </c>
      <c r="LI59" s="15" t="s">
        <v>32</v>
      </c>
      <c r="LJ59" s="15" t="s">
        <v>32</v>
      </c>
      <c r="LK59" s="15" t="s">
        <v>32</v>
      </c>
      <c r="LL59" s="15" t="s">
        <v>32</v>
      </c>
      <c r="LM59" s="15" t="s">
        <v>32</v>
      </c>
      <c r="LN59" s="15" t="s">
        <v>32</v>
      </c>
      <c r="LO59" s="15" t="s">
        <v>32</v>
      </c>
      <c r="LP59" s="15" t="s">
        <v>32</v>
      </c>
      <c r="LQ59" s="15" t="s">
        <v>32</v>
      </c>
      <c r="LR59" s="15" t="s">
        <v>32</v>
      </c>
      <c r="LS59" s="15" t="s">
        <v>32</v>
      </c>
      <c r="LT59" s="15" t="s">
        <v>32</v>
      </c>
      <c r="LU59" s="15" t="s">
        <v>32</v>
      </c>
      <c r="LV59" s="15" t="s">
        <v>32</v>
      </c>
      <c r="LW59" s="15" t="s">
        <v>32</v>
      </c>
      <c r="LX59" s="15" t="s">
        <v>32</v>
      </c>
      <c r="LY59" s="15" t="s">
        <v>32</v>
      </c>
      <c r="LZ59" s="15" t="s">
        <v>32</v>
      </c>
      <c r="MA59" s="15" t="s">
        <v>32</v>
      </c>
      <c r="MB59" s="15" t="s">
        <v>32</v>
      </c>
      <c r="MC59" s="15" t="s">
        <v>32</v>
      </c>
      <c r="MD59" s="15" t="s">
        <v>32</v>
      </c>
      <c r="ME59" s="15" t="s">
        <v>32</v>
      </c>
      <c r="MF59" s="15" t="s">
        <v>32</v>
      </c>
      <c r="MG59" s="15" t="s">
        <v>32</v>
      </c>
      <c r="MH59" s="15" t="s">
        <v>32</v>
      </c>
      <c r="MI59" s="15" t="s">
        <v>32</v>
      </c>
      <c r="MJ59" s="15" t="s">
        <v>32</v>
      </c>
      <c r="MK59" s="15" t="s">
        <v>32</v>
      </c>
      <c r="ML59" s="15" t="s">
        <v>32</v>
      </c>
      <c r="MM59" s="15" t="s">
        <v>32</v>
      </c>
      <c r="MN59" s="15" t="s">
        <v>32</v>
      </c>
      <c r="MO59" s="15" t="s">
        <v>32</v>
      </c>
      <c r="MP59" s="15" t="s">
        <v>32</v>
      </c>
      <c r="MQ59" s="15" t="s">
        <v>32</v>
      </c>
      <c r="MR59" s="15" t="s">
        <v>32</v>
      </c>
      <c r="MS59" s="15" t="s">
        <v>32</v>
      </c>
      <c r="MT59" s="15" t="s">
        <v>32</v>
      </c>
      <c r="MU59" s="15" t="s">
        <v>32</v>
      </c>
      <c r="MV59" s="15" t="s">
        <v>32</v>
      </c>
      <c r="MW59" s="15" t="s">
        <v>32</v>
      </c>
      <c r="MX59" s="15" t="s">
        <v>32</v>
      </c>
      <c r="MY59" s="15" t="s">
        <v>32</v>
      </c>
      <c r="MZ59" s="15" t="s">
        <v>32</v>
      </c>
      <c r="NA59" s="15" t="s">
        <v>32</v>
      </c>
      <c r="NB59" s="15" t="s">
        <v>32</v>
      </c>
      <c r="NC59" s="15" t="s">
        <v>32</v>
      </c>
      <c r="ND59" s="15" t="s">
        <v>32</v>
      </c>
      <c r="NE59" s="15" t="s">
        <v>32</v>
      </c>
      <c r="NF59" s="15" t="s">
        <v>32</v>
      </c>
      <c r="NG59" s="15" t="s">
        <v>32</v>
      </c>
      <c r="NH59" s="15" t="s">
        <v>32</v>
      </c>
      <c r="NI59" s="15" t="s">
        <v>32</v>
      </c>
      <c r="NK59" s="35" t="s">
        <v>32</v>
      </c>
      <c r="NN59" s="38"/>
      <c r="NO59" s="37"/>
      <c r="NP59" s="46"/>
      <c r="NQ59" s="43"/>
      <c r="NR59" s="43"/>
      <c r="NS59" s="43"/>
      <c r="NT59" s="43"/>
    </row>
  </sheetData>
  <mergeCells count="4">
    <mergeCell ref="NN10:NT10"/>
    <mergeCell ref="NN11:NN12"/>
    <mergeCell ref="NO11:NO12"/>
    <mergeCell ref="NQ11:NT11"/>
  </mergeCells>
  <conditionalFormatting sqref="NS5:OC5">
    <cfRule type="expression" dxfId="13" priority="10">
      <formula>NS$7=#REF!</formula>
    </cfRule>
  </conditionalFormatting>
  <conditionalFormatting sqref="B13:NJ58">
    <cfRule type="expression" dxfId="12" priority="11" stopIfTrue="1">
      <formula>ISNUMBER(MATCH(DATE($A$7,$A$9,B$11),Feriados,0))</formula>
    </cfRule>
    <cfRule type="expression" dxfId="11" priority="12">
      <formula>B13=$NL$6</formula>
    </cfRule>
    <cfRule type="expression" dxfId="10" priority="13">
      <formula>B13=$NL$9</formula>
    </cfRule>
  </conditionalFormatting>
  <conditionalFormatting sqref="B13:NI58">
    <cfRule type="expression" dxfId="9" priority="2">
      <formula>B13=$NL$8</formula>
    </cfRule>
    <cfRule type="expression" dxfId="8" priority="3">
      <formula>B13=$NL$7</formula>
    </cfRule>
    <cfRule type="expression" dxfId="7" priority="4">
      <formula>B13=$NL$5</formula>
    </cfRule>
  </conditionalFormatting>
  <dataValidations count="2">
    <dataValidation type="list" allowBlank="1" showInputMessage="1" showErrorMessage="1" sqref="A8" xr:uid="{95598AFD-6D4C-410F-A8D5-019CC8950F2D}">
      <formula1>Meses</formula1>
    </dataValidation>
    <dataValidation type="custom" allowBlank="1" showErrorMessage="1" errorTitle="Not a Valid Date" error="This isn't a valid Date" sqref="B13:NJ58" xr:uid="{E20B119D-0713-437B-96F4-A302DC39FD55}">
      <formula1>B$12&lt;&gt;""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34857176-8C93-4401-A0DA-0772CBFB3B90}">
            <xm:f>IF(VLOOKUP(B12,'Días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9" stopIfTrue="1" id="{9439FDE0-E72A-4D97-91AE-2BAD7983C247}">
            <xm:f>AND(B$11&lt;&gt;"",VLOOKUP(B$12,'Días laborables y festivos'!$E$5:$F$11,2,0)&lt;&gt;"Si")</xm:f>
            <x14:dxf>
              <fill>
                <gradientFill type="path" left="0.5" right="0.5" top="0.5" bottom="0.5">
                  <stop position="0">
                    <color theme="0"/>
                  </stop>
                  <stop position="1">
                    <color theme="0" tint="-0.25098422193060094"/>
                  </stop>
                </gradient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B13:NJ58</xm:sqref>
        </x14:conditionalFormatting>
        <x14:conditionalFormatting xmlns:xm="http://schemas.microsoft.com/office/excel/2006/main">
          <x14:cfRule type="expression" priority="7" id="{7610217A-33D5-45A0-9789-7BD18270D0A2}">
            <xm:f>IF(VLOOKUP(C12,'Días laborables y festivos'!$E$5:$F$11,2,0)="No",TRUE,FALSE)</xm:f>
            <x14:dxf>
              <font>
                <b/>
                <i val="0"/>
                <color theme="0"/>
              </font>
              <fill>
                <patternFill patternType="solid">
                  <bgColor theme="0" tint="-0.499984740745262"/>
                </patternFill>
              </fill>
            </x14:dxf>
          </x14:cfRule>
          <xm:sqref>C12:NJ12</xm:sqref>
        </x14:conditionalFormatting>
        <x14:conditionalFormatting xmlns:xm="http://schemas.microsoft.com/office/excel/2006/main">
          <x14:cfRule type="expression" priority="6" id="{D62E6485-CE65-416A-ACD0-FD70DDED976E}">
            <xm:f>IF(VLOOKUP(NQ12,'Días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NQ12:NS12</xm:sqref>
        </x14:conditionalFormatting>
        <x14:conditionalFormatting xmlns:xm="http://schemas.microsoft.com/office/excel/2006/main">
          <x14:cfRule type="expression" priority="5" id="{0AAEECEA-21C4-4F2E-B4F7-009BAAB151FF}">
            <xm:f>IF(VLOOKUP(NQ11,'Días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NQ11</xm:sqref>
        </x14:conditionalFormatting>
        <x14:conditionalFormatting xmlns:xm="http://schemas.microsoft.com/office/excel/2006/main">
          <x14:cfRule type="expression" priority="1" id="{2AC75150-2D71-41B8-B8BB-9823420F4016}">
            <xm:f>IF(VLOOKUP(NT12,'Días laborables y festivos'!$E$5:$F$11,2,0)="No",TRUE,FALSE)</xm:f>
            <x14:dxf>
              <font>
                <b/>
                <i val="0"/>
                <color rgb="FFFFFF00"/>
              </font>
              <fill>
                <patternFill patternType="solid">
                  <bgColor rgb="FF00B050"/>
                </patternFill>
              </fill>
            </x14:dxf>
          </x14:cfRule>
          <xm:sqref>NT12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NQ66"/>
  <sheetViews>
    <sheetView showGridLines="0" zoomScale="115" zoomScaleNormal="115" workbookViewId="0">
      <selection activeCell="K16" sqref="K16"/>
    </sheetView>
  </sheetViews>
  <sheetFormatPr defaultColWidth="9.1796875" defaultRowHeight="14.5" x14ac:dyDescent="0.35"/>
  <cols>
    <col min="1" max="1" width="3" customWidth="1"/>
    <col min="2" max="2" width="24" bestFit="1" customWidth="1"/>
    <col min="3" max="3" width="12.1796875" customWidth="1"/>
    <col min="5" max="5" width="10.453125" bestFit="1" customWidth="1"/>
  </cols>
  <sheetData>
    <row r="1" spans="2:381" s="26" customFormat="1" ht="32.25" customHeight="1" x14ac:dyDescent="0.35">
      <c r="B1" s="51"/>
      <c r="C1" s="51"/>
      <c r="D1" s="51"/>
      <c r="E1" s="51"/>
      <c r="F1" s="51"/>
      <c r="G1" s="51"/>
      <c r="H1" s="51"/>
      <c r="I1" s="51"/>
      <c r="NK1" s="34"/>
      <c r="NL1" s="34"/>
      <c r="NM1" s="34"/>
      <c r="NQ1" s="34"/>
    </row>
    <row r="2" spans="2:381" s="26" customFormat="1" ht="14.25" customHeight="1" x14ac:dyDescent="0.35">
      <c r="NK2" s="34"/>
      <c r="NL2" s="34"/>
      <c r="NM2" s="34"/>
      <c r="NQ2" s="34"/>
    </row>
    <row r="3" spans="2:381" x14ac:dyDescent="0.35">
      <c r="B3" s="50" t="s">
        <v>37</v>
      </c>
      <c r="E3" s="50" t="s">
        <v>36</v>
      </c>
    </row>
    <row r="4" spans="2:381" ht="18.5" x14ac:dyDescent="0.35">
      <c r="B4" s="79" t="s">
        <v>69</v>
      </c>
      <c r="C4" s="79" t="s">
        <v>27</v>
      </c>
      <c r="E4" s="79" t="s">
        <v>25</v>
      </c>
      <c r="F4" s="79"/>
    </row>
    <row r="5" spans="2:381" x14ac:dyDescent="0.35">
      <c r="B5" s="40" t="s">
        <v>38</v>
      </c>
      <c r="C5" s="41">
        <v>44116</v>
      </c>
      <c r="E5" s="7" t="s">
        <v>14</v>
      </c>
      <c r="F5" s="7" t="s">
        <v>26</v>
      </c>
    </row>
    <row r="6" spans="2:381" x14ac:dyDescent="0.35">
      <c r="B6" s="40" t="s">
        <v>39</v>
      </c>
      <c r="C6" s="41">
        <v>44137</v>
      </c>
      <c r="E6" s="7" t="s">
        <v>15</v>
      </c>
      <c r="F6" s="7" t="s">
        <v>26</v>
      </c>
    </row>
    <row r="7" spans="2:381" x14ac:dyDescent="0.35">
      <c r="B7" s="40" t="s">
        <v>43</v>
      </c>
      <c r="C7" s="41">
        <v>44197</v>
      </c>
      <c r="E7" s="7" t="s">
        <v>16</v>
      </c>
      <c r="F7" s="7" t="s">
        <v>26</v>
      </c>
    </row>
    <row r="8" spans="2:381" x14ac:dyDescent="0.35">
      <c r="B8" s="40" t="s">
        <v>40</v>
      </c>
      <c r="C8" s="41">
        <v>44172</v>
      </c>
      <c r="E8" s="7" t="s">
        <v>17</v>
      </c>
      <c r="F8" s="7" t="s">
        <v>26</v>
      </c>
    </row>
    <row r="9" spans="2:381" x14ac:dyDescent="0.35">
      <c r="B9" s="40" t="s">
        <v>41</v>
      </c>
      <c r="C9" s="41">
        <v>44173</v>
      </c>
      <c r="E9" s="7" t="s">
        <v>18</v>
      </c>
      <c r="F9" s="7" t="s">
        <v>26</v>
      </c>
    </row>
    <row r="10" spans="2:381" x14ac:dyDescent="0.35">
      <c r="B10" s="40" t="s">
        <v>42</v>
      </c>
      <c r="C10" s="41">
        <v>44190</v>
      </c>
      <c r="E10" s="7" t="s">
        <v>19</v>
      </c>
      <c r="F10" s="7" t="s">
        <v>1</v>
      </c>
    </row>
    <row r="11" spans="2:381" x14ac:dyDescent="0.35">
      <c r="B11" s="40"/>
      <c r="C11" s="41"/>
      <c r="E11" s="7" t="s">
        <v>20</v>
      </c>
      <c r="F11" s="7" t="s">
        <v>1</v>
      </c>
    </row>
    <row r="12" spans="2:381" x14ac:dyDescent="0.35">
      <c r="B12" s="40"/>
      <c r="C12" s="41"/>
      <c r="F12" s="5"/>
    </row>
    <row r="13" spans="2:381" x14ac:dyDescent="0.35">
      <c r="B13" s="40"/>
      <c r="C13" s="41"/>
      <c r="F13" s="5"/>
    </row>
    <row r="14" spans="2:381" x14ac:dyDescent="0.35">
      <c r="B14" s="40"/>
      <c r="C14" s="41"/>
      <c r="F14" s="5"/>
    </row>
    <row r="15" spans="2:381" x14ac:dyDescent="0.35">
      <c r="B15" s="40"/>
      <c r="C15" s="41"/>
      <c r="F15" s="5"/>
    </row>
    <row r="16" spans="2:381" x14ac:dyDescent="0.35">
      <c r="B16" s="40"/>
      <c r="C16" s="41"/>
    </row>
    <row r="17" spans="2:3" x14ac:dyDescent="0.35">
      <c r="B17" s="40"/>
      <c r="C17" s="41"/>
    </row>
    <row r="18" spans="2:3" x14ac:dyDescent="0.35">
      <c r="B18" s="40"/>
      <c r="C18" s="41"/>
    </row>
    <row r="19" spans="2:3" x14ac:dyDescent="0.35">
      <c r="B19" s="40"/>
      <c r="C19" s="41"/>
    </row>
    <row r="20" spans="2:3" x14ac:dyDescent="0.35">
      <c r="B20" s="40"/>
      <c r="C20" s="41"/>
    </row>
    <row r="21" spans="2:3" x14ac:dyDescent="0.35">
      <c r="B21" s="40"/>
      <c r="C21" s="41"/>
    </row>
    <row r="22" spans="2:3" x14ac:dyDescent="0.35">
      <c r="B22" s="40"/>
      <c r="C22" s="41"/>
    </row>
    <row r="23" spans="2:3" x14ac:dyDescent="0.35">
      <c r="B23" s="40"/>
      <c r="C23" s="41"/>
    </row>
    <row r="24" spans="2:3" x14ac:dyDescent="0.35">
      <c r="B24" s="40"/>
      <c r="C24" s="41"/>
    </row>
    <row r="25" spans="2:3" x14ac:dyDescent="0.35">
      <c r="B25" s="40"/>
      <c r="C25" s="41"/>
    </row>
    <row r="26" spans="2:3" x14ac:dyDescent="0.35">
      <c r="B26" s="40"/>
      <c r="C26" s="41"/>
    </row>
    <row r="27" spans="2:3" x14ac:dyDescent="0.35">
      <c r="B27" s="40"/>
      <c r="C27" s="41"/>
    </row>
    <row r="28" spans="2:3" x14ac:dyDescent="0.35">
      <c r="B28" s="40"/>
      <c r="C28" s="41"/>
    </row>
    <row r="29" spans="2:3" x14ac:dyDescent="0.35">
      <c r="B29" s="40"/>
      <c r="C29" s="41"/>
    </row>
    <row r="30" spans="2:3" x14ac:dyDescent="0.35">
      <c r="B30" s="40"/>
      <c r="C30" s="41"/>
    </row>
    <row r="31" spans="2:3" x14ac:dyDescent="0.35">
      <c r="B31" s="40"/>
      <c r="C31" s="41"/>
    </row>
    <row r="32" spans="2:3" x14ac:dyDescent="0.35">
      <c r="B32" s="40"/>
      <c r="C32" s="41"/>
    </row>
    <row r="33" spans="2:3" x14ac:dyDescent="0.35">
      <c r="B33" s="40"/>
      <c r="C33" s="41"/>
    </row>
    <row r="34" spans="2:3" x14ac:dyDescent="0.35">
      <c r="B34" s="40"/>
      <c r="C34" s="41"/>
    </row>
    <row r="35" spans="2:3" x14ac:dyDescent="0.35">
      <c r="B35" s="40"/>
      <c r="C35" s="41"/>
    </row>
    <row r="36" spans="2:3" x14ac:dyDescent="0.35">
      <c r="B36" s="40"/>
      <c r="C36" s="41"/>
    </row>
    <row r="37" spans="2:3" x14ac:dyDescent="0.35">
      <c r="B37" s="40"/>
      <c r="C37" s="41"/>
    </row>
    <row r="38" spans="2:3" x14ac:dyDescent="0.35">
      <c r="B38" s="40"/>
      <c r="C38" s="41"/>
    </row>
    <row r="39" spans="2:3" x14ac:dyDescent="0.35">
      <c r="B39" s="40"/>
      <c r="C39" s="41"/>
    </row>
    <row r="40" spans="2:3" x14ac:dyDescent="0.35">
      <c r="B40" s="40"/>
      <c r="C40" s="41"/>
    </row>
    <row r="41" spans="2:3" x14ac:dyDescent="0.35">
      <c r="B41" s="40"/>
      <c r="C41" s="41"/>
    </row>
    <row r="42" spans="2:3" x14ac:dyDescent="0.35">
      <c r="B42" s="40"/>
      <c r="C42" s="41"/>
    </row>
    <row r="43" spans="2:3" x14ac:dyDescent="0.35">
      <c r="B43" s="40"/>
      <c r="C43" s="41"/>
    </row>
    <row r="44" spans="2:3" x14ac:dyDescent="0.35">
      <c r="B44" s="40"/>
      <c r="C44" s="41"/>
    </row>
    <row r="45" spans="2:3" x14ac:dyDescent="0.35">
      <c r="B45" s="40"/>
      <c r="C45" s="41"/>
    </row>
    <row r="46" spans="2:3" x14ac:dyDescent="0.35">
      <c r="B46" s="40"/>
      <c r="C46" s="41"/>
    </row>
    <row r="47" spans="2:3" x14ac:dyDescent="0.35">
      <c r="B47" s="40"/>
      <c r="C47" s="41"/>
    </row>
    <row r="48" spans="2:3" x14ac:dyDescent="0.35">
      <c r="B48" s="40"/>
      <c r="C48" s="41"/>
    </row>
    <row r="49" spans="2:3" x14ac:dyDescent="0.35">
      <c r="B49" s="40"/>
      <c r="C49" s="41"/>
    </row>
    <row r="50" spans="2:3" x14ac:dyDescent="0.35">
      <c r="B50" s="40"/>
      <c r="C50" s="41"/>
    </row>
    <row r="51" spans="2:3" x14ac:dyDescent="0.35">
      <c r="B51" s="40"/>
      <c r="C51" s="41"/>
    </row>
    <row r="52" spans="2:3" x14ac:dyDescent="0.35">
      <c r="B52" s="40"/>
      <c r="C52" s="41"/>
    </row>
    <row r="53" spans="2:3" x14ac:dyDescent="0.35">
      <c r="B53" s="40"/>
      <c r="C53" s="41"/>
    </row>
    <row r="54" spans="2:3" x14ac:dyDescent="0.35">
      <c r="B54" s="40"/>
      <c r="C54" s="41"/>
    </row>
    <row r="55" spans="2:3" x14ac:dyDescent="0.35">
      <c r="B55" s="40"/>
      <c r="C55" s="41"/>
    </row>
    <row r="56" spans="2:3" x14ac:dyDescent="0.35">
      <c r="B56" s="40"/>
      <c r="C56" s="41"/>
    </row>
    <row r="57" spans="2:3" x14ac:dyDescent="0.35">
      <c r="B57" s="40"/>
      <c r="C57" s="41"/>
    </row>
    <row r="58" spans="2:3" x14ac:dyDescent="0.35">
      <c r="B58" s="40"/>
      <c r="C58" s="41"/>
    </row>
    <row r="59" spans="2:3" x14ac:dyDescent="0.35">
      <c r="B59" s="40"/>
      <c r="C59" s="41"/>
    </row>
    <row r="60" spans="2:3" x14ac:dyDescent="0.35">
      <c r="B60" s="40"/>
      <c r="C60" s="41"/>
    </row>
    <row r="61" spans="2:3" x14ac:dyDescent="0.35">
      <c r="B61" s="40"/>
      <c r="C61" s="41"/>
    </row>
    <row r="62" spans="2:3" x14ac:dyDescent="0.35">
      <c r="B62" s="40"/>
      <c r="C62" s="41"/>
    </row>
    <row r="63" spans="2:3" x14ac:dyDescent="0.35">
      <c r="B63" s="40"/>
      <c r="C63" s="41"/>
    </row>
    <row r="64" spans="2:3" x14ac:dyDescent="0.35">
      <c r="B64" s="40"/>
      <c r="C64" s="41"/>
    </row>
    <row r="65" spans="2:3" x14ac:dyDescent="0.35">
      <c r="B65" s="40"/>
      <c r="C65" s="41"/>
    </row>
    <row r="66" spans="2:3" x14ac:dyDescent="0.35">
      <c r="B66" s="40"/>
      <c r="C66" s="41"/>
    </row>
  </sheetData>
  <conditionalFormatting sqref="F5:F11">
    <cfRule type="expression" dxfId="0" priority="1">
      <formula>F5="No"</formula>
    </cfRule>
  </conditionalFormatting>
  <dataValidations disablePrompts="1" count="1">
    <dataValidation type="list" allowBlank="1" showInputMessage="1" showErrorMessage="1" sqref="F5:F11" xr:uid="{00000000-0002-0000-0200-000000000000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9"/>
  <sheetViews>
    <sheetView workbookViewId="0">
      <selection activeCell="H4" sqref="H4"/>
    </sheetView>
  </sheetViews>
  <sheetFormatPr defaultColWidth="9.1796875" defaultRowHeight="14.5" x14ac:dyDescent="0.35"/>
  <cols>
    <col min="7" max="7" width="12.1796875" bestFit="1" customWidth="1"/>
    <col min="9" max="9" width="9.7265625" bestFit="1" customWidth="1"/>
  </cols>
  <sheetData>
    <row r="1" spans="1:9" x14ac:dyDescent="0.35">
      <c r="A1" s="1" t="s">
        <v>2</v>
      </c>
      <c r="B1" s="1">
        <v>1</v>
      </c>
      <c r="D1">
        <v>1</v>
      </c>
      <c r="E1" t="s">
        <v>14</v>
      </c>
      <c r="F1">
        <v>2019</v>
      </c>
      <c r="G1" s="4"/>
      <c r="H1" s="4"/>
      <c r="I1" s="4"/>
    </row>
    <row r="2" spans="1:9" x14ac:dyDescent="0.35">
      <c r="A2" s="1" t="s">
        <v>3</v>
      </c>
      <c r="B2" s="1">
        <v>2</v>
      </c>
      <c r="D2">
        <v>2</v>
      </c>
      <c r="E2" t="s">
        <v>15</v>
      </c>
      <c r="F2">
        <v>2020</v>
      </c>
      <c r="G2" s="4"/>
    </row>
    <row r="3" spans="1:9" x14ac:dyDescent="0.35">
      <c r="A3" s="1" t="s">
        <v>4</v>
      </c>
      <c r="B3" s="1">
        <v>3</v>
      </c>
      <c r="D3">
        <v>3</v>
      </c>
      <c r="E3" t="s">
        <v>16</v>
      </c>
      <c r="F3">
        <v>2021</v>
      </c>
    </row>
    <row r="4" spans="1:9" x14ac:dyDescent="0.35">
      <c r="A4" s="1" t="s">
        <v>5</v>
      </c>
      <c r="B4" s="1">
        <v>4</v>
      </c>
      <c r="D4">
        <v>4</v>
      </c>
      <c r="E4" t="s">
        <v>17</v>
      </c>
      <c r="F4">
        <v>2022</v>
      </c>
      <c r="H4" s="20"/>
    </row>
    <row r="5" spans="1:9" x14ac:dyDescent="0.35">
      <c r="A5" s="1" t="s">
        <v>6</v>
      </c>
      <c r="B5" s="1">
        <v>5</v>
      </c>
      <c r="D5">
        <v>5</v>
      </c>
      <c r="E5" t="s">
        <v>18</v>
      </c>
      <c r="F5">
        <v>2023</v>
      </c>
    </row>
    <row r="6" spans="1:9" x14ac:dyDescent="0.35">
      <c r="A6" s="1" t="s">
        <v>7</v>
      </c>
      <c r="B6" s="1">
        <v>6</v>
      </c>
      <c r="D6">
        <v>6</v>
      </c>
      <c r="E6" t="s">
        <v>19</v>
      </c>
      <c r="F6">
        <v>2024</v>
      </c>
    </row>
    <row r="7" spans="1:9" x14ac:dyDescent="0.35">
      <c r="A7" s="1" t="s">
        <v>8</v>
      </c>
      <c r="B7" s="1">
        <v>7</v>
      </c>
      <c r="D7">
        <v>7</v>
      </c>
      <c r="E7" t="s">
        <v>20</v>
      </c>
      <c r="F7">
        <v>2025</v>
      </c>
    </row>
    <row r="8" spans="1:9" x14ac:dyDescent="0.35">
      <c r="A8" s="1" t="s">
        <v>9</v>
      </c>
      <c r="B8" s="1">
        <v>8</v>
      </c>
      <c r="F8">
        <v>2026</v>
      </c>
    </row>
    <row r="9" spans="1:9" x14ac:dyDescent="0.35">
      <c r="A9" s="1" t="s">
        <v>10</v>
      </c>
      <c r="B9" s="1">
        <v>9</v>
      </c>
      <c r="F9">
        <v>2027</v>
      </c>
    </row>
    <row r="10" spans="1:9" x14ac:dyDescent="0.35">
      <c r="A10" s="1" t="s">
        <v>11</v>
      </c>
      <c r="B10" s="1">
        <v>10</v>
      </c>
      <c r="F10">
        <v>2028</v>
      </c>
    </row>
    <row r="11" spans="1:9" x14ac:dyDescent="0.35">
      <c r="A11" s="1" t="s">
        <v>12</v>
      </c>
      <c r="B11" s="1">
        <v>11</v>
      </c>
      <c r="F11">
        <v>2029</v>
      </c>
    </row>
    <row r="12" spans="1:9" x14ac:dyDescent="0.35">
      <c r="A12" s="1" t="s">
        <v>13</v>
      </c>
      <c r="B12" s="1">
        <v>12</v>
      </c>
      <c r="F12">
        <v>2030</v>
      </c>
    </row>
    <row r="13" spans="1:9" x14ac:dyDescent="0.35">
      <c r="F13">
        <v>2031</v>
      </c>
    </row>
    <row r="14" spans="1:9" x14ac:dyDescent="0.35">
      <c r="F14">
        <v>2032</v>
      </c>
    </row>
    <row r="15" spans="1:9" x14ac:dyDescent="0.35">
      <c r="F15">
        <v>2033</v>
      </c>
    </row>
    <row r="16" spans="1:9" x14ac:dyDescent="0.35">
      <c r="F16">
        <v>2034</v>
      </c>
    </row>
    <row r="17" spans="6:6" x14ac:dyDescent="0.35">
      <c r="F17">
        <v>2035</v>
      </c>
    </row>
    <row r="18" spans="6:6" x14ac:dyDescent="0.35">
      <c r="F18">
        <v>2036</v>
      </c>
    </row>
    <row r="19" spans="6:6" x14ac:dyDescent="0.35">
      <c r="F19">
        <v>2037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2020</vt:lpstr>
      <vt:lpstr>2021</vt:lpstr>
      <vt:lpstr>Días laborables y festivos</vt:lpstr>
      <vt:lpstr>Auxiliar</vt:lpstr>
      <vt:lpstr>Años</vt:lpstr>
      <vt:lpstr>Feriados</vt:lpstr>
      <vt:lpstr>Meses</vt:lpstr>
      <vt:lpstr>Meses_num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JAIME ARRIBAS GOMEZ</cp:lastModifiedBy>
  <dcterms:created xsi:type="dcterms:W3CDTF">2014-12-17T05:13:13Z</dcterms:created>
  <dcterms:modified xsi:type="dcterms:W3CDTF">2020-10-20T16:53:36Z</dcterms:modified>
</cp:coreProperties>
</file>